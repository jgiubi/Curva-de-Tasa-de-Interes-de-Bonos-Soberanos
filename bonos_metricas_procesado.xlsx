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116" windowHeight="9288" activeTab="5"/>
  </bookViews>
  <sheets>
    <sheet name="bonos_metricas" sheetId="1" r:id="rId1"/>
    <sheet name="Sens_hard_dollar" sheetId="3" r:id="rId2"/>
    <sheet name="Sens_dollar_linked" sheetId="5" r:id="rId3"/>
    <sheet name="Sens_CER" sheetId="6" r:id="rId4"/>
    <sheet name="Sens_tasa_fija" sheetId="7" r:id="rId5"/>
    <sheet name="Curva_NS" sheetId="8" r:id="rId6"/>
  </sheets>
  <definedNames>
    <definedName name="curvas_NS" localSheetId="5">Curva_NS!$A$1:$H$18</definedName>
    <definedName name="curvas_NS_1" localSheetId="5">Curva_NS!$A$1:$H$33</definedName>
  </definedNames>
  <calcPr calcId="145621"/>
</workbook>
</file>

<file path=xl/calcChain.xml><?xml version="1.0" encoding="utf-8"?>
<calcChain xmlns="http://schemas.openxmlformats.org/spreadsheetml/2006/main">
  <c r="I8" i="7" l="1"/>
  <c r="F8" i="7"/>
  <c r="C8" i="7"/>
  <c r="L8" i="6"/>
  <c r="I8" i="6"/>
  <c r="F8" i="6"/>
  <c r="C8" i="6"/>
  <c r="O8" i="5"/>
  <c r="L8" i="5"/>
  <c r="I8" i="5"/>
  <c r="F8" i="5"/>
  <c r="C8" i="5"/>
  <c r="I8" i="3"/>
  <c r="J12" i="7" s="1"/>
  <c r="O8" i="3"/>
  <c r="P10" i="5" s="1"/>
  <c r="L8" i="3"/>
  <c r="M13" i="3" s="1"/>
  <c r="F8" i="3"/>
  <c r="G7" i="7" s="1"/>
  <c r="C8" i="3"/>
  <c r="D10" i="7" s="1"/>
  <c r="D9" i="3" l="1"/>
  <c r="J6" i="3"/>
  <c r="I6" i="3" s="1"/>
  <c r="K6" i="3" s="1"/>
  <c r="J3" i="3"/>
  <c r="I3" i="3" s="1"/>
  <c r="K3" i="3" s="1"/>
  <c r="J4" i="3"/>
  <c r="I4" i="3" s="1"/>
  <c r="K4" i="3" s="1"/>
  <c r="D5" i="3"/>
  <c r="D7" i="3"/>
  <c r="J10" i="3"/>
  <c r="P7" i="3"/>
  <c r="D4" i="3"/>
  <c r="D10" i="5"/>
  <c r="J10" i="5"/>
  <c r="P11" i="5"/>
  <c r="O11" i="5" s="1"/>
  <c r="Q11" i="5" s="1"/>
  <c r="J5" i="6"/>
  <c r="I5" i="6" s="1"/>
  <c r="K5" i="6" s="1"/>
  <c r="P9" i="3"/>
  <c r="D11" i="5"/>
  <c r="C11" i="5" s="1"/>
  <c r="E11" i="5" s="1"/>
  <c r="J12" i="5"/>
  <c r="D3" i="6"/>
  <c r="C3" i="6" s="1"/>
  <c r="E3" i="6" s="1"/>
  <c r="J7" i="6"/>
  <c r="J9" i="3"/>
  <c r="I9" i="3" s="1"/>
  <c r="K9" i="3" s="1"/>
  <c r="P11" i="3"/>
  <c r="D13" i="5"/>
  <c r="J13" i="5"/>
  <c r="D5" i="6"/>
  <c r="P13" i="3"/>
  <c r="D6" i="6"/>
  <c r="C6" i="6" s="1"/>
  <c r="E6" i="6" s="1"/>
  <c r="J13" i="6"/>
  <c r="D13" i="3"/>
  <c r="J12" i="3"/>
  <c r="I12" i="3" s="1"/>
  <c r="K12" i="3" s="1"/>
  <c r="D3" i="5"/>
  <c r="C3" i="5" s="1"/>
  <c r="E3" i="5" s="1"/>
  <c r="J4" i="5"/>
  <c r="P3" i="5"/>
  <c r="D11" i="3"/>
  <c r="J13" i="3"/>
  <c r="D5" i="5"/>
  <c r="J5" i="5"/>
  <c r="P6" i="5"/>
  <c r="D11" i="6"/>
  <c r="C11" i="6" s="1"/>
  <c r="E11" i="6" s="1"/>
  <c r="P4" i="3"/>
  <c r="D6" i="5"/>
  <c r="J7" i="5"/>
  <c r="D13" i="6"/>
  <c r="C13" i="6" s="1"/>
  <c r="E13" i="6" s="1"/>
  <c r="P5" i="3"/>
  <c r="P9" i="5"/>
  <c r="G10" i="3"/>
  <c r="G5" i="5"/>
  <c r="F5" i="5" s="1"/>
  <c r="H5" i="5" s="1"/>
  <c r="G13" i="5"/>
  <c r="G5" i="6"/>
  <c r="G13" i="6"/>
  <c r="J10" i="6"/>
  <c r="I10" i="6" s="1"/>
  <c r="K10" i="6" s="1"/>
  <c r="D3" i="7"/>
  <c r="D11" i="7"/>
  <c r="C11" i="7" s="1"/>
  <c r="E11" i="7" s="1"/>
  <c r="J5" i="7"/>
  <c r="J13" i="7"/>
  <c r="I13" i="7" s="1"/>
  <c r="K13" i="7" s="1"/>
  <c r="D6" i="3"/>
  <c r="D10" i="3"/>
  <c r="G11" i="3"/>
  <c r="J7" i="3"/>
  <c r="I7" i="3" s="1"/>
  <c r="K7" i="3" s="1"/>
  <c r="M5" i="3"/>
  <c r="P3" i="3"/>
  <c r="P12" i="3"/>
  <c r="I10" i="3"/>
  <c r="K10" i="3" s="1"/>
  <c r="D9" i="5"/>
  <c r="G6" i="5"/>
  <c r="J3" i="5"/>
  <c r="J11" i="5"/>
  <c r="I11" i="5" s="1"/>
  <c r="K11" i="5" s="1"/>
  <c r="M7" i="5"/>
  <c r="L7" i="5" s="1"/>
  <c r="N7" i="5" s="1"/>
  <c r="P4" i="5"/>
  <c r="O4" i="5" s="1"/>
  <c r="Q4" i="5" s="1"/>
  <c r="P12" i="5"/>
  <c r="D9" i="6"/>
  <c r="C9" i="6" s="1"/>
  <c r="E9" i="6" s="1"/>
  <c r="G6" i="6"/>
  <c r="J3" i="6"/>
  <c r="J11" i="6"/>
  <c r="M7" i="6"/>
  <c r="L7" i="6" s="1"/>
  <c r="N7" i="6" s="1"/>
  <c r="D4" i="7"/>
  <c r="C4" i="7" s="1"/>
  <c r="E4" i="7" s="1"/>
  <c r="D12" i="7"/>
  <c r="C12" i="7" s="1"/>
  <c r="E12" i="7" s="1"/>
  <c r="G9" i="7"/>
  <c r="F9" i="7" s="1"/>
  <c r="H9" i="7" s="1"/>
  <c r="J6" i="7"/>
  <c r="I6" i="7" s="1"/>
  <c r="K6" i="7" s="1"/>
  <c r="G3" i="3"/>
  <c r="M6" i="3"/>
  <c r="G7" i="5"/>
  <c r="P5" i="5"/>
  <c r="O5" i="5" s="1"/>
  <c r="Q5" i="5" s="1"/>
  <c r="P13" i="5"/>
  <c r="O13" i="5" s="1"/>
  <c r="Q13" i="5" s="1"/>
  <c r="D10" i="6"/>
  <c r="C10" i="6" s="1"/>
  <c r="E10" i="6" s="1"/>
  <c r="G7" i="6"/>
  <c r="J4" i="6"/>
  <c r="I4" i="6" s="1"/>
  <c r="K4" i="6" s="1"/>
  <c r="J12" i="6"/>
  <c r="D5" i="7"/>
  <c r="D13" i="7"/>
  <c r="G10" i="7"/>
  <c r="F10" i="7" s="1"/>
  <c r="H10" i="7" s="1"/>
  <c r="J7" i="7"/>
  <c r="I7" i="7" s="1"/>
  <c r="K7" i="7" s="1"/>
  <c r="G13" i="3"/>
  <c r="M9" i="5"/>
  <c r="M9" i="6"/>
  <c r="L9" i="6" s="1"/>
  <c r="N9" i="6" s="1"/>
  <c r="D6" i="7"/>
  <c r="C6" i="7" s="1"/>
  <c r="E6" i="7" s="1"/>
  <c r="G3" i="7"/>
  <c r="G11" i="7"/>
  <c r="G12" i="3"/>
  <c r="G4" i="3"/>
  <c r="M7" i="3"/>
  <c r="D3" i="3"/>
  <c r="G5" i="3"/>
  <c r="J11" i="3"/>
  <c r="I11" i="3" s="1"/>
  <c r="K11" i="3" s="1"/>
  <c r="M9" i="3"/>
  <c r="P6" i="3"/>
  <c r="I13" i="3"/>
  <c r="K13" i="3" s="1"/>
  <c r="D4" i="5"/>
  <c r="C4" i="5" s="1"/>
  <c r="E4" i="5" s="1"/>
  <c r="D12" i="5"/>
  <c r="C12" i="5" s="1"/>
  <c r="E12" i="5" s="1"/>
  <c r="G9" i="5"/>
  <c r="F9" i="5" s="1"/>
  <c r="H9" i="5" s="1"/>
  <c r="J6" i="5"/>
  <c r="I6" i="5" s="1"/>
  <c r="K6" i="5" s="1"/>
  <c r="M3" i="5"/>
  <c r="L3" i="5" s="1"/>
  <c r="N3" i="5" s="1"/>
  <c r="M10" i="5"/>
  <c r="L10" i="5" s="1"/>
  <c r="N10" i="5" s="1"/>
  <c r="P7" i="5"/>
  <c r="D4" i="6"/>
  <c r="C4" i="6" s="1"/>
  <c r="E4" i="6" s="1"/>
  <c r="D12" i="6"/>
  <c r="C12" i="6" s="1"/>
  <c r="E12" i="6" s="1"/>
  <c r="G9" i="6"/>
  <c r="F9" i="6" s="1"/>
  <c r="H9" i="6" s="1"/>
  <c r="J6" i="6"/>
  <c r="I6" i="6" s="1"/>
  <c r="K6" i="6" s="1"/>
  <c r="M3" i="6"/>
  <c r="L3" i="6" s="1"/>
  <c r="N3" i="6" s="1"/>
  <c r="M10" i="6"/>
  <c r="D7" i="7"/>
  <c r="C7" i="7" s="1"/>
  <c r="E7" i="7" s="1"/>
  <c r="G4" i="7"/>
  <c r="F4" i="7" s="1"/>
  <c r="H4" i="7" s="1"/>
  <c r="G12" i="7"/>
  <c r="F12" i="7" s="1"/>
  <c r="H12" i="7" s="1"/>
  <c r="J9" i="7"/>
  <c r="I9" i="7" s="1"/>
  <c r="K9" i="7" s="1"/>
  <c r="G10" i="5"/>
  <c r="F10" i="5" s="1"/>
  <c r="H10" i="5" s="1"/>
  <c r="M4" i="5"/>
  <c r="L4" i="5" s="1"/>
  <c r="N4" i="5" s="1"/>
  <c r="M11" i="5"/>
  <c r="L11" i="5" s="1"/>
  <c r="N11" i="5" s="1"/>
  <c r="G10" i="6"/>
  <c r="F10" i="6" s="1"/>
  <c r="H10" i="6" s="1"/>
  <c r="M4" i="6"/>
  <c r="L4" i="6" s="1"/>
  <c r="N4" i="6" s="1"/>
  <c r="M11" i="6"/>
  <c r="L11" i="6" s="1"/>
  <c r="N11" i="6" s="1"/>
  <c r="G5" i="7"/>
  <c r="F5" i="7" s="1"/>
  <c r="H5" i="7" s="1"/>
  <c r="G13" i="7"/>
  <c r="F13" i="7" s="1"/>
  <c r="H13" i="7" s="1"/>
  <c r="J10" i="7"/>
  <c r="I10" i="7" s="1"/>
  <c r="K10" i="7" s="1"/>
  <c r="G7" i="3"/>
  <c r="M11" i="3"/>
  <c r="G3" i="5"/>
  <c r="F3" i="5" s="1"/>
  <c r="H3" i="5" s="1"/>
  <c r="G11" i="5"/>
  <c r="F11" i="5" s="1"/>
  <c r="H11" i="5" s="1"/>
  <c r="M5" i="5"/>
  <c r="L5" i="5" s="1"/>
  <c r="N5" i="5" s="1"/>
  <c r="M12" i="5"/>
  <c r="L12" i="5" s="1"/>
  <c r="N12" i="5" s="1"/>
  <c r="I11" i="6"/>
  <c r="K11" i="6" s="1"/>
  <c r="M5" i="6"/>
  <c r="L5" i="6" s="1"/>
  <c r="N5" i="6" s="1"/>
  <c r="M12" i="6"/>
  <c r="L12" i="6" s="1"/>
  <c r="N12" i="6" s="1"/>
  <c r="D9" i="7"/>
  <c r="C9" i="7" s="1"/>
  <c r="E9" i="7" s="1"/>
  <c r="G6" i="7"/>
  <c r="F6" i="7" s="1"/>
  <c r="H6" i="7" s="1"/>
  <c r="J3" i="7"/>
  <c r="I3" i="7" s="1"/>
  <c r="K3" i="7" s="1"/>
  <c r="J11" i="7"/>
  <c r="I11" i="7" s="1"/>
  <c r="K11" i="7" s="1"/>
  <c r="G6" i="3"/>
  <c r="G3" i="6"/>
  <c r="F3" i="6" s="1"/>
  <c r="H3" i="6" s="1"/>
  <c r="G11" i="6"/>
  <c r="F11" i="6" s="1"/>
  <c r="H11" i="6" s="1"/>
  <c r="D12" i="3"/>
  <c r="G9" i="3"/>
  <c r="J5" i="3"/>
  <c r="I5" i="3" s="1"/>
  <c r="K5" i="3" s="1"/>
  <c r="M3" i="3"/>
  <c r="M12" i="3"/>
  <c r="P10" i="3"/>
  <c r="D7" i="5"/>
  <c r="C7" i="5" s="1"/>
  <c r="E7" i="5" s="1"/>
  <c r="G4" i="5"/>
  <c r="F4" i="5" s="1"/>
  <c r="H4" i="5" s="1"/>
  <c r="G12" i="5"/>
  <c r="F12" i="5" s="1"/>
  <c r="H12" i="5" s="1"/>
  <c r="J9" i="5"/>
  <c r="I9" i="5" s="1"/>
  <c r="K9" i="5" s="1"/>
  <c r="M6" i="5"/>
  <c r="L6" i="5" s="1"/>
  <c r="N6" i="5" s="1"/>
  <c r="M13" i="5"/>
  <c r="L13" i="5" s="1"/>
  <c r="N13" i="5" s="1"/>
  <c r="D7" i="6"/>
  <c r="C7" i="6" s="1"/>
  <c r="E7" i="6" s="1"/>
  <c r="G4" i="6"/>
  <c r="F4" i="6" s="1"/>
  <c r="H4" i="6" s="1"/>
  <c r="G12" i="6"/>
  <c r="F12" i="6" s="1"/>
  <c r="H12" i="6" s="1"/>
  <c r="J9" i="6"/>
  <c r="I9" i="6" s="1"/>
  <c r="K9" i="6" s="1"/>
  <c r="M6" i="6"/>
  <c r="L6" i="6" s="1"/>
  <c r="N6" i="6" s="1"/>
  <c r="M13" i="6"/>
  <c r="L13" i="6" s="1"/>
  <c r="N13" i="6" s="1"/>
  <c r="J4" i="7"/>
  <c r="I4" i="7" s="1"/>
  <c r="K4" i="7" s="1"/>
  <c r="M10" i="3"/>
  <c r="M4" i="3"/>
  <c r="F11" i="7"/>
  <c r="H11" i="7" s="1"/>
  <c r="I12" i="7"/>
  <c r="K12" i="7" s="1"/>
  <c r="I5" i="7"/>
  <c r="K5" i="7" s="1"/>
  <c r="F3" i="7"/>
  <c r="H3" i="7" s="1"/>
  <c r="F7" i="7"/>
  <c r="H7" i="7" s="1"/>
  <c r="C3" i="7"/>
  <c r="E3" i="7" s="1"/>
  <c r="C10" i="7"/>
  <c r="E10" i="7" s="1"/>
  <c r="C13" i="7"/>
  <c r="E13" i="7" s="1"/>
  <c r="C5" i="7"/>
  <c r="E5" i="7" s="1"/>
  <c r="L10" i="6"/>
  <c r="N10" i="6" s="1"/>
  <c r="I3" i="6"/>
  <c r="K3" i="6" s="1"/>
  <c r="I12" i="6"/>
  <c r="K12" i="6" s="1"/>
  <c r="I7" i="6"/>
  <c r="K7" i="6" s="1"/>
  <c r="I13" i="6"/>
  <c r="K13" i="6" s="1"/>
  <c r="F6" i="6"/>
  <c r="H6" i="6" s="1"/>
  <c r="F7" i="6"/>
  <c r="H7" i="6" s="1"/>
  <c r="F13" i="6"/>
  <c r="H13" i="6" s="1"/>
  <c r="F5" i="6"/>
  <c r="H5" i="6" s="1"/>
  <c r="C5" i="6"/>
  <c r="E5" i="6" s="1"/>
  <c r="O3" i="5"/>
  <c r="Q3" i="5" s="1"/>
  <c r="O9" i="5"/>
  <c r="Q9" i="5" s="1"/>
  <c r="O6" i="5"/>
  <c r="Q6" i="5" s="1"/>
  <c r="O12" i="5"/>
  <c r="Q12" i="5" s="1"/>
  <c r="O10" i="5"/>
  <c r="Q10" i="5" s="1"/>
  <c r="O7" i="5"/>
  <c r="Q7" i="5" s="1"/>
  <c r="L9" i="5"/>
  <c r="N9" i="5" s="1"/>
  <c r="I3" i="5"/>
  <c r="K3" i="5" s="1"/>
  <c r="I12" i="5"/>
  <c r="K12" i="5" s="1"/>
  <c r="I4" i="5"/>
  <c r="K4" i="5" s="1"/>
  <c r="I10" i="5"/>
  <c r="K10" i="5" s="1"/>
  <c r="I7" i="5"/>
  <c r="K7" i="5" s="1"/>
  <c r="I13" i="5"/>
  <c r="K13" i="5" s="1"/>
  <c r="I5" i="5"/>
  <c r="K5" i="5" s="1"/>
  <c r="F6" i="5"/>
  <c r="H6" i="5" s="1"/>
  <c r="F7" i="5"/>
  <c r="H7" i="5" s="1"/>
  <c r="F13" i="5"/>
  <c r="H13" i="5" s="1"/>
  <c r="C9" i="5"/>
  <c r="E9" i="5" s="1"/>
  <c r="C6" i="5"/>
  <c r="E6" i="5" s="1"/>
  <c r="C10" i="5"/>
  <c r="E10" i="5" s="1"/>
  <c r="C13" i="5"/>
  <c r="E13" i="5" s="1"/>
  <c r="C5" i="5"/>
  <c r="E5" i="5" s="1"/>
  <c r="B13" i="7"/>
  <c r="B12" i="7"/>
  <c r="B11" i="7"/>
  <c r="B10" i="7"/>
  <c r="B9" i="7"/>
  <c r="B7" i="7"/>
  <c r="B6" i="7"/>
  <c r="B5" i="7"/>
  <c r="B4" i="7"/>
  <c r="B3" i="7"/>
  <c r="B13" i="6"/>
  <c r="B12" i="6"/>
  <c r="B11" i="6"/>
  <c r="B10" i="6"/>
  <c r="B9" i="6"/>
  <c r="B7" i="6"/>
  <c r="B6" i="6"/>
  <c r="B5" i="6"/>
  <c r="B4" i="6"/>
  <c r="B3" i="6"/>
  <c r="B13" i="5"/>
  <c r="B12" i="5"/>
  <c r="B11" i="5"/>
  <c r="B10" i="5"/>
  <c r="B9" i="5"/>
  <c r="B7" i="5"/>
  <c r="B6" i="5"/>
  <c r="B5" i="5"/>
  <c r="B4" i="5"/>
  <c r="B3" i="5"/>
  <c r="B4" i="3"/>
  <c r="B5" i="3"/>
  <c r="B6" i="3"/>
  <c r="B7" i="3"/>
  <c r="B9" i="3"/>
  <c r="B10" i="3"/>
  <c r="B11" i="3"/>
  <c r="B12" i="3"/>
  <c r="B13" i="3"/>
  <c r="B3" i="3"/>
  <c r="L11" i="3" l="1"/>
  <c r="N11" i="3" s="1"/>
  <c r="C3" i="3"/>
  <c r="E3" i="3" s="1"/>
  <c r="F10" i="3"/>
  <c r="H10" i="3" s="1"/>
  <c r="F11" i="3"/>
  <c r="H11" i="3" s="1"/>
  <c r="O4" i="3"/>
  <c r="Q4" i="3" s="1"/>
  <c r="F12" i="3"/>
  <c r="H12" i="3" s="1"/>
  <c r="C4" i="3"/>
  <c r="E4" i="3" s="1"/>
  <c r="C9" i="3"/>
  <c r="E9" i="3" s="1"/>
  <c r="C10" i="3"/>
  <c r="E10" i="3" s="1"/>
  <c r="L9" i="3"/>
  <c r="N9" i="3" s="1"/>
  <c r="C13" i="3"/>
  <c r="E13" i="3" s="1"/>
  <c r="F13" i="3"/>
  <c r="H13" i="3" s="1"/>
  <c r="F6" i="3"/>
  <c r="H6" i="3" s="1"/>
  <c r="F4" i="3"/>
  <c r="H4" i="3" s="1"/>
  <c r="F5" i="3"/>
  <c r="H5" i="3" s="1"/>
  <c r="L10" i="3"/>
  <c r="N10" i="3" s="1"/>
  <c r="L4" i="3"/>
  <c r="N4" i="3" s="1"/>
  <c r="O7" i="3"/>
  <c r="Q7" i="3" s="1"/>
  <c r="C11" i="3"/>
  <c r="E11" i="3" s="1"/>
  <c r="L12" i="3"/>
  <c r="N12" i="3" s="1"/>
  <c r="F7" i="3"/>
  <c r="H7" i="3" s="1"/>
  <c r="L5" i="3"/>
  <c r="N5" i="3" s="1"/>
  <c r="L13" i="3"/>
  <c r="N13" i="3" s="1"/>
  <c r="L6" i="3"/>
  <c r="N6" i="3" s="1"/>
  <c r="L7" i="3"/>
  <c r="N7" i="3" s="1"/>
  <c r="O9" i="3"/>
  <c r="Q9" i="3" s="1"/>
  <c r="F9" i="3"/>
  <c r="H9" i="3" s="1"/>
  <c r="O10" i="3"/>
  <c r="Q10" i="3" s="1"/>
  <c r="O3" i="3"/>
  <c r="Q3" i="3" s="1"/>
  <c r="C12" i="3"/>
  <c r="E12" i="3" s="1"/>
  <c r="C7" i="3"/>
  <c r="E7" i="3" s="1"/>
  <c r="C6" i="3"/>
  <c r="E6" i="3" s="1"/>
  <c r="C5" i="3"/>
  <c r="E5" i="3" s="1"/>
  <c r="O11" i="3"/>
  <c r="Q11" i="3" s="1"/>
  <c r="F3" i="3"/>
  <c r="H3" i="3" s="1"/>
  <c r="O5" i="3"/>
  <c r="Q5" i="3" s="1"/>
  <c r="O13" i="3"/>
  <c r="Q13" i="3" s="1"/>
  <c r="L3" i="3"/>
  <c r="N3" i="3" s="1"/>
  <c r="O6" i="3"/>
  <c r="Q6" i="3" s="1"/>
  <c r="O12" i="3"/>
  <c r="Q12" i="3" s="1"/>
</calcChain>
</file>

<file path=xl/connections.xml><?xml version="1.0" encoding="utf-8"?>
<connections xmlns="http://schemas.openxmlformats.org/spreadsheetml/2006/main">
  <connection id="1" name="curvas_NS" type="6" refreshedVersion="4" background="1" saveData="1">
    <textPr codePage="850" sourceFile="C:\Program1\Proyectos\Github\Curva de Tasa de Interes de Bonos Soberanos\bonos_metricas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urvas_NS2" type="6" refreshedVersion="4" background="1" saveData="1">
    <textPr codePage="850" sourceFile="C:\Program1\Proyectos\Github\Curva de Tasa de Interes de Bonos Soberanos\curvas_NS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<sst xmlns="http://schemas.openxmlformats.org/spreadsheetml/2006/main" count="197" uniqueCount="42">
  <si>
    <t>ticker</t>
  </si>
  <si>
    <t>tipo</t>
  </si>
  <si>
    <t>precio_sucio</t>
  </si>
  <si>
    <t>ytm</t>
  </si>
  <si>
    <t>dur_mac</t>
  </si>
  <si>
    <t>dur_mod</t>
  </si>
  <si>
    <t>convexidad</t>
  </si>
  <si>
    <t>plazo_anos</t>
  </si>
  <si>
    <t>AL30</t>
  </si>
  <si>
    <t>hard_dollar</t>
  </si>
  <si>
    <t>AL35</t>
  </si>
  <si>
    <t>AL29</t>
  </si>
  <si>
    <t>AL41</t>
  </si>
  <si>
    <t>AE38</t>
  </si>
  <si>
    <t>TZV27</t>
  </si>
  <si>
    <t>dollar_linked</t>
  </si>
  <si>
    <t>TZV28</t>
  </si>
  <si>
    <t>TZVD8</t>
  </si>
  <si>
    <t>D15E7</t>
  </si>
  <si>
    <t>D31M7</t>
  </si>
  <si>
    <t>TX26</t>
  </si>
  <si>
    <t>CER</t>
  </si>
  <si>
    <t>TX28</t>
  </si>
  <si>
    <t>TZX27</t>
  </si>
  <si>
    <t>TZX28</t>
  </si>
  <si>
    <t>S30S6</t>
  </si>
  <si>
    <t>tasa_fija</t>
  </si>
  <si>
    <t>S30N6</t>
  </si>
  <si>
    <t>T31Y7</t>
  </si>
  <si>
    <t>Shock (bps)</t>
  </si>
  <si>
    <t>-</t>
  </si>
  <si>
    <t>Precio</t>
  </si>
  <si>
    <t>Variacion (%)</t>
  </si>
  <si>
    <t>Variacion (ARS)</t>
  </si>
  <si>
    <t>spot_%</t>
  </si>
  <si>
    <t>forward_ins_%</t>
  </si>
  <si>
    <t>forward_6m_%</t>
  </si>
  <si>
    <t>par_%</t>
  </si>
  <si>
    <t>forward_3m_%</t>
  </si>
  <si>
    <t>forward_1m_%</t>
  </si>
  <si>
    <t>diferencial y</t>
  </si>
  <si>
    <t>precio_teorico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</si>
</sst>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.0000000_-;\-* #,##0.0000000_-;_-* &quot;-&quot;??_-;_-@_-"/>
    <numFmt numFmtId="165" formatCode="0.000"/>
    <numFmt numFmtId="166" formatCode="0.00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1" applyNumberFormat="1" applyFont="1" applyAlignment="1">
      <alignment horizontal="center"/>
    </xf>
    <xf numFmtId="0" fontId="13" fillId="7" borderId="7" xfId="14"/>
    <xf numFmtId="2" fontId="0" fillId="0" borderId="1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17" fillId="37" borderId="0" xfId="0" applyNumberFormat="1" applyFont="1" applyFill="1" applyAlignment="1">
      <alignment horizontal="center"/>
    </xf>
    <xf numFmtId="2" fontId="13" fillId="33" borderId="11" xfId="0" applyNumberFormat="1" applyFont="1" applyFill="1" applyBorder="1" applyAlignment="1">
      <alignment horizontal="center"/>
    </xf>
    <xf numFmtId="165" fontId="0" fillId="34" borderId="11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7" fillId="37" borderId="0" xfId="0" applyNumberFormat="1" applyFont="1" applyFill="1" applyAlignment="1">
      <alignment horizontal="center"/>
    </xf>
    <xf numFmtId="165" fontId="13" fillId="33" borderId="10" xfId="0" applyNumberFormat="1" applyFont="1" applyFill="1" applyBorder="1" applyAlignment="1">
      <alignment horizontal="center"/>
    </xf>
    <xf numFmtId="165" fontId="13" fillId="33" borderId="11" xfId="0" applyNumberFormat="1" applyFont="1" applyFill="1" applyBorder="1" applyAlignment="1">
      <alignment horizontal="center"/>
    </xf>
    <xf numFmtId="165" fontId="0" fillId="34" borderId="10" xfId="0" applyNumberFormat="1" applyFont="1" applyFill="1" applyBorder="1" applyAlignment="1">
      <alignment horizontal="center"/>
    </xf>
    <xf numFmtId="165" fontId="0" fillId="0" borderId="10" xfId="0" applyNumberFormat="1" applyFont="1" applyBorder="1" applyAlignment="1">
      <alignment horizontal="center"/>
    </xf>
    <xf numFmtId="165" fontId="0" fillId="0" borderId="11" xfId="0" applyNumberFormat="1" applyFont="1" applyBorder="1" applyAlignment="1">
      <alignment horizontal="center"/>
    </xf>
    <xf numFmtId="165" fontId="6" fillId="2" borderId="11" xfId="7" applyNumberFormat="1" applyBorder="1" applyAlignment="1">
      <alignment horizontal="center"/>
    </xf>
    <xf numFmtId="2" fontId="6" fillId="2" borderId="11" xfId="7" applyNumberFormat="1" applyBorder="1" applyAlignment="1">
      <alignment horizontal="center"/>
    </xf>
    <xf numFmtId="2" fontId="7" fillId="3" borderId="11" xfId="8" applyNumberFormat="1" applyBorder="1" applyAlignment="1">
      <alignment horizontal="center"/>
    </xf>
    <xf numFmtId="165" fontId="7" fillId="3" borderId="11" xfId="8" applyNumberFormat="1" applyBorder="1" applyAlignment="1">
      <alignment horizontal="center"/>
    </xf>
    <xf numFmtId="10" fontId="6" fillId="2" borderId="11" xfId="7" applyNumberFormat="1" applyBorder="1" applyAlignment="1">
      <alignment horizontal="center"/>
    </xf>
    <xf numFmtId="10" fontId="7" fillId="3" borderId="11" xfId="8" applyNumberFormat="1" applyBorder="1" applyAlignment="1">
      <alignment horizontal="center"/>
    </xf>
    <xf numFmtId="164" fontId="13" fillId="38" borderId="10" xfId="1" applyNumberFormat="1" applyFont="1" applyFill="1" applyBorder="1" applyAlignment="1">
      <alignment horizontal="center"/>
    </xf>
    <xf numFmtId="164" fontId="13" fillId="37" borderId="10" xfId="1" applyNumberFormat="1" applyFont="1" applyFill="1" applyBorder="1" applyAlignment="1">
      <alignment horizontal="center"/>
    </xf>
    <xf numFmtId="0" fontId="0" fillId="35" borderId="0" xfId="0" applyFill="1"/>
    <xf numFmtId="0" fontId="17" fillId="36" borderId="0" xfId="0" applyFont="1" applyFill="1"/>
    <xf numFmtId="0" fontId="17" fillId="37" borderId="0" xfId="0" applyFont="1" applyFill="1"/>
    <xf numFmtId="0" fontId="17" fillId="39" borderId="0" xfId="0" applyFont="1" applyFill="1"/>
    <xf numFmtId="0" fontId="5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otal" xfId="18" builtinId="25" customBuiltin="1"/>
  </cellStyles>
  <dxfs count="10">
    <dxf>
      <numFmt numFmtId="166" formatCode="0.00000000"/>
      <alignment horizontal="center" vertical="bottom" textRotation="0" wrapText="0" indent="0" justifyLastLine="0" shrinkToFit="0" readingOrder="0"/>
    </dxf>
    <dxf>
      <numFmt numFmtId="166" formatCode="0.00000000"/>
      <alignment horizontal="center" vertical="bottom" textRotation="0" wrapText="0" indent="0" justifyLastLine="0" shrinkToFit="0" readingOrder="0"/>
    </dxf>
    <dxf>
      <numFmt numFmtId="166" formatCode="0.00000000"/>
      <alignment horizontal="center" vertical="bottom" textRotation="0" wrapText="0" indent="0" justifyLastLine="0" shrinkToFit="0" readingOrder="0"/>
    </dxf>
    <dxf>
      <numFmt numFmtId="166" formatCode="0.00000000"/>
      <alignment horizontal="center" vertical="bottom" textRotation="0" wrapText="0" indent="0" justifyLastLine="0" shrinkToFit="0" readingOrder="0"/>
    </dxf>
    <dxf>
      <numFmt numFmtId="166" formatCode="0.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0.0000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64" formatCode="_-* #,##0.0000000_-;\-* #,##0.0000000_-;_-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00000_-;\-* #,##0.00000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Hard Dollar</a:t>
            </a:r>
          </a:p>
        </c:rich>
      </c:tx>
      <c:layout>
        <c:manualLayout>
          <c:xMode val="edge"/>
          <c:yMode val="edge"/>
          <c:x val="0.7717922082028903"/>
          <c:y val="2.41545893719806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5415520349112996E-2"/>
          <c:y val="2.379539514082479E-2"/>
          <c:w val="0.72781772760332675"/>
          <c:h val="0.9050833319748075"/>
        </c:manualLayout>
      </c:layout>
      <c:lineChart>
        <c:grouping val="standard"/>
        <c:varyColors val="0"/>
        <c:ser>
          <c:idx val="0"/>
          <c:order val="0"/>
          <c:tx>
            <c:strRef>
              <c:f>Curva_NS!$C$1</c:f>
              <c:strCache>
                <c:ptCount val="1"/>
                <c:pt idx="0">
                  <c:v>spot_%</c:v>
                </c:pt>
              </c:strCache>
            </c:strRef>
          </c:tx>
          <c:cat>
            <c:numRef>
              <c:f>Curva_NS!$B$2:$B$14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numCache>
            </c:numRef>
          </c:cat>
          <c:val>
            <c:numRef>
              <c:f>Curva_NS!$C$2:$C$14</c:f>
              <c:numCache>
                <c:formatCode>General</c:formatCode>
                <c:ptCount val="13"/>
                <c:pt idx="0">
                  <c:v>8.9741</c:v>
                </c:pt>
                <c:pt idx="1">
                  <c:v>9.4974000000000007</c:v>
                </c:pt>
                <c:pt idx="2">
                  <c:v>9.9060000000000006</c:v>
                </c:pt>
                <c:pt idx="3">
                  <c:v>10.216699999999999</c:v>
                </c:pt>
                <c:pt idx="4">
                  <c:v>10.4443</c:v>
                </c:pt>
                <c:pt idx="5">
                  <c:v>10.6014</c:v>
                </c:pt>
                <c:pt idx="6">
                  <c:v>10.6989</c:v>
                </c:pt>
                <c:pt idx="7">
                  <c:v>10.7464</c:v>
                </c:pt>
                <c:pt idx="8">
                  <c:v>10.752000000000001</c:v>
                </c:pt>
                <c:pt idx="9">
                  <c:v>10.7227</c:v>
                </c:pt>
                <c:pt idx="10">
                  <c:v>10.6647</c:v>
                </c:pt>
                <c:pt idx="11">
                  <c:v>10.583</c:v>
                </c:pt>
                <c:pt idx="12">
                  <c:v>10.482200000000001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Curva_NS!$D$1</c:f>
              <c:strCache>
                <c:ptCount val="1"/>
                <c:pt idx="0">
                  <c:v>forward_ins_%</c:v>
                </c:pt>
              </c:strCache>
            </c:strRef>
          </c:tx>
          <c:cat>
            <c:numRef>
              <c:f>Curva_NS!$B$2:$B$14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numCache>
            </c:numRef>
          </c:cat>
          <c:val>
            <c:numRef>
              <c:f>Curva_NS!$D$2:$D$14</c:f>
              <c:numCache>
                <c:formatCode>General</c:formatCode>
                <c:ptCount val="13"/>
                <c:pt idx="0">
                  <c:v>10.734999999999999</c:v>
                </c:pt>
                <c:pt idx="1">
                  <c:v>11.3491</c:v>
                </c:pt>
                <c:pt idx="2">
                  <c:v>11.6912</c:v>
                </c:pt>
                <c:pt idx="3">
                  <c:v>11.818</c:v>
                </c:pt>
                <c:pt idx="4">
                  <c:v>11.7767</c:v>
                </c:pt>
                <c:pt idx="5">
                  <c:v>11.606199999999999</c:v>
                </c:pt>
                <c:pt idx="6">
                  <c:v>11.3383</c:v>
                </c:pt>
                <c:pt idx="7">
                  <c:v>10.9992</c:v>
                </c:pt>
                <c:pt idx="8">
                  <c:v>10.6099</c:v>
                </c:pt>
                <c:pt idx="9">
                  <c:v>10.1876</c:v>
                </c:pt>
                <c:pt idx="10">
                  <c:v>9.7460000000000004</c:v>
                </c:pt>
                <c:pt idx="11">
                  <c:v>9.2959999999999994</c:v>
                </c:pt>
                <c:pt idx="12">
                  <c:v>8.8460000000000001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Curva_NS!$E$1</c:f>
              <c:strCache>
                <c:ptCount val="1"/>
                <c:pt idx="0">
                  <c:v>forward_6m_%</c:v>
                </c:pt>
              </c:strCache>
            </c:strRef>
          </c:tx>
          <c:cat>
            <c:numRef>
              <c:f>Curva_NS!$B$2:$B$14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numCache>
            </c:numRef>
          </c:cat>
          <c:val>
            <c:numRef>
              <c:f>Curva_NS!$E$2:$E$14</c:f>
              <c:numCache>
                <c:formatCode>General</c:formatCode>
                <c:ptCount val="13"/>
                <c:pt idx="0">
                  <c:v>10.9291</c:v>
                </c:pt>
                <c:pt idx="1">
                  <c:v>11.470700000000001</c:v>
                </c:pt>
                <c:pt idx="2">
                  <c:v>11.7529</c:v>
                </c:pt>
                <c:pt idx="3">
                  <c:v>11.831</c:v>
                </c:pt>
                <c:pt idx="4">
                  <c:v>11.7508</c:v>
                </c:pt>
                <c:pt idx="5">
                  <c:v>11.5501</c:v>
                </c:pt>
                <c:pt idx="6">
                  <c:v>11.26</c:v>
                </c:pt>
                <c:pt idx="7">
                  <c:v>10.9055</c:v>
                </c:pt>
                <c:pt idx="8">
                  <c:v>10.5068</c:v>
                </c:pt>
                <c:pt idx="9">
                  <c:v>10.0802</c:v>
                </c:pt>
                <c:pt idx="10">
                  <c:v>9.6385000000000005</c:v>
                </c:pt>
                <c:pt idx="11">
                  <c:v>9.1918000000000006</c:v>
                </c:pt>
                <c:pt idx="12">
                  <c:v>8.7477999999999998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Curva_NS!$F$1</c:f>
              <c:strCache>
                <c:ptCount val="1"/>
                <c:pt idx="0">
                  <c:v>par_%</c:v>
                </c:pt>
              </c:strCache>
            </c:strRef>
          </c:tx>
          <c:cat>
            <c:numRef>
              <c:f>Curva_NS!$B$2:$B$14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numCache>
            </c:numRef>
          </c:cat>
          <c:val>
            <c:numRef>
              <c:f>Curva_NS!$F$2:$F$14</c:f>
              <c:numCache>
                <c:formatCode>General</c:formatCode>
                <c:ptCount val="13"/>
                <c:pt idx="0">
                  <c:v>8.6972000000000005</c:v>
                </c:pt>
                <c:pt idx="1">
                  <c:v>9.1462000000000003</c:v>
                </c:pt>
                <c:pt idx="2">
                  <c:v>9.484</c:v>
                </c:pt>
                <c:pt idx="3">
                  <c:v>9.7330000000000005</c:v>
                </c:pt>
                <c:pt idx="4">
                  <c:v>9.9113000000000007</c:v>
                </c:pt>
                <c:pt idx="5">
                  <c:v>10.034000000000001</c:v>
                </c:pt>
                <c:pt idx="6">
                  <c:v>10.113</c:v>
                </c:pt>
                <c:pt idx="7">
                  <c:v>10.158200000000001</c:v>
                </c:pt>
                <c:pt idx="8">
                  <c:v>10.177</c:v>
                </c:pt>
                <c:pt idx="9">
                  <c:v>10.175700000000001</c:v>
                </c:pt>
                <c:pt idx="10">
                  <c:v>10.159000000000001</c:v>
                </c:pt>
                <c:pt idx="11">
                  <c:v>10.130599999999999</c:v>
                </c:pt>
                <c:pt idx="12">
                  <c:v>10.093500000000001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952192"/>
        <c:axId val="225486528"/>
      </c:lineChart>
      <c:catAx>
        <c:axId val="22695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486528"/>
        <c:crosses val="autoZero"/>
        <c:auto val="1"/>
        <c:lblAlgn val="ctr"/>
        <c:lblOffset val="100"/>
        <c:noMultiLvlLbl val="0"/>
      </c:catAx>
      <c:valAx>
        <c:axId val="225486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5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176675204756029"/>
          <c:y val="0.10773517440754686"/>
          <c:w val="0.19065876024756165"/>
          <c:h val="0.2969279702106202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Dollar Linked</a:t>
            </a:r>
          </a:p>
        </c:rich>
      </c:tx>
      <c:layout>
        <c:manualLayout>
          <c:xMode val="edge"/>
          <c:yMode val="edge"/>
          <c:x val="0.7717922082028903"/>
          <c:y val="2.41545893719806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3357959884644047E-2"/>
          <c:y val="2.5051394437764246E-2"/>
          <c:w val="0.72781772760332675"/>
          <c:h val="0.9050833319748075"/>
        </c:manualLayout>
      </c:layout>
      <c:lineChart>
        <c:grouping val="standard"/>
        <c:varyColors val="0"/>
        <c:ser>
          <c:idx val="0"/>
          <c:order val="0"/>
          <c:tx>
            <c:strRef>
              <c:f>Curva_NS!$C$1</c:f>
              <c:strCache>
                <c:ptCount val="1"/>
                <c:pt idx="0">
                  <c:v>spot_%</c:v>
                </c:pt>
              </c:strCache>
            </c:strRef>
          </c:tx>
          <c:cat>
            <c:numRef>
              <c:f>Curva_NS!$B$15:$B$21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</c:numCache>
            </c:numRef>
          </c:cat>
          <c:val>
            <c:numRef>
              <c:f>Curva_NS!$C$15:$C$21</c:f>
              <c:numCache>
                <c:formatCode>General</c:formatCode>
                <c:ptCount val="7"/>
                <c:pt idx="0">
                  <c:v>11.697900000000001</c:v>
                </c:pt>
                <c:pt idx="1">
                  <c:v>7.0442</c:v>
                </c:pt>
                <c:pt idx="2">
                  <c:v>6.0179</c:v>
                </c:pt>
                <c:pt idx="3">
                  <c:v>6.5673000000000004</c:v>
                </c:pt>
                <c:pt idx="4">
                  <c:v>8.9788999999999994</c:v>
                </c:pt>
                <c:pt idx="5">
                  <c:v>11.275499999999999</c:v>
                </c:pt>
                <c:pt idx="6">
                  <c:v>13.0197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Curva_NS!$D$1</c:f>
              <c:strCache>
                <c:ptCount val="1"/>
                <c:pt idx="0">
                  <c:v>forward_ins_%</c:v>
                </c:pt>
              </c:strCache>
            </c:strRef>
          </c:tx>
          <c:cat>
            <c:numRef>
              <c:f>Curva_NS!$B$15:$B$21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</c:numCache>
            </c:numRef>
          </c:cat>
          <c:val>
            <c:numRef>
              <c:f>Curva_NS!$D$15:$D$21</c:f>
              <c:numCache>
                <c:formatCode>General</c:formatCode>
                <c:ptCount val="7"/>
                <c:pt idx="0">
                  <c:v>4.0979000000000001</c:v>
                </c:pt>
                <c:pt idx="1">
                  <c:v>2.3062</c:v>
                </c:pt>
                <c:pt idx="2">
                  <c:v>5.9904000000000002</c:v>
                </c:pt>
                <c:pt idx="3">
                  <c:v>10.374700000000001</c:v>
                </c:pt>
                <c:pt idx="4">
                  <c:v>16.5517</c:v>
                </c:pt>
                <c:pt idx="5">
                  <c:v>19.363600000000002</c:v>
                </c:pt>
                <c:pt idx="6">
                  <c:v>20.45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Curva_NS!$F$1</c:f>
              <c:strCache>
                <c:ptCount val="1"/>
                <c:pt idx="0">
                  <c:v>par_%</c:v>
                </c:pt>
              </c:strCache>
            </c:strRef>
          </c:tx>
          <c:cat>
            <c:numRef>
              <c:f>Curva_NS!$B$15:$B$21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</c:numCache>
            </c:numRef>
          </c:cat>
          <c:val>
            <c:numRef>
              <c:f>Curva_NS!$F$15:$F$21</c:f>
              <c:numCache>
                <c:formatCode>General</c:formatCode>
                <c:ptCount val="7"/>
                <c:pt idx="0">
                  <c:v>11.697900000000001</c:v>
                </c:pt>
                <c:pt idx="1">
                  <c:v>7.0442</c:v>
                </c:pt>
                <c:pt idx="2">
                  <c:v>6.0179</c:v>
                </c:pt>
                <c:pt idx="3">
                  <c:v>6.5673000000000004</c:v>
                </c:pt>
                <c:pt idx="4">
                  <c:v>8.9788999999999994</c:v>
                </c:pt>
                <c:pt idx="5">
                  <c:v>11.275499999999999</c:v>
                </c:pt>
                <c:pt idx="6">
                  <c:v>13.0197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Curva_NS!$G$1</c:f>
              <c:strCache>
                <c:ptCount val="1"/>
                <c:pt idx="0">
                  <c:v>forward_3m_%</c:v>
                </c:pt>
              </c:strCache>
            </c:strRef>
          </c:tx>
          <c:cat>
            <c:numRef>
              <c:f>Curva_NS!$B$15:$B$21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</c:numCache>
            </c:numRef>
          </c:cat>
          <c:val>
            <c:numRef>
              <c:f>Curva_NS!$G$15:$G$21</c:f>
              <c:numCache>
                <c:formatCode>General</c:formatCode>
                <c:ptCount val="7"/>
                <c:pt idx="0">
                  <c:v>2.5842999999999998</c:v>
                </c:pt>
                <c:pt idx="1">
                  <c:v>3.9948000000000001</c:v>
                </c:pt>
                <c:pt idx="2">
                  <c:v>8.2324999999999999</c:v>
                </c:pt>
                <c:pt idx="3">
                  <c:v>12.382999999999999</c:v>
                </c:pt>
                <c:pt idx="4">
                  <c:v>17.761099999999999</c:v>
                </c:pt>
                <c:pt idx="5">
                  <c:v>20.020900000000001</c:v>
                </c:pt>
                <c:pt idx="6">
                  <c:v>20.816700000000001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953216"/>
        <c:axId val="225488832"/>
      </c:lineChart>
      <c:catAx>
        <c:axId val="22695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488832"/>
        <c:crosses val="autoZero"/>
        <c:auto val="1"/>
        <c:lblAlgn val="ctr"/>
        <c:lblOffset val="100"/>
        <c:noMultiLvlLbl val="0"/>
      </c:catAx>
      <c:valAx>
        <c:axId val="225488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5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176675204756029"/>
          <c:y val="0.10773517440754686"/>
          <c:w val="0.19065876024756165"/>
          <c:h val="0.2969279702106202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CER</a:t>
            </a:r>
          </a:p>
        </c:rich>
      </c:tx>
      <c:layout>
        <c:manualLayout>
          <c:xMode val="edge"/>
          <c:yMode val="edge"/>
          <c:x val="0.7717922082028903"/>
          <c:y val="2.41545893719806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3357959884644047E-2"/>
          <c:y val="2.5051394437764246E-2"/>
          <c:w val="0.72781772760332675"/>
          <c:h val="0.9050833319748075"/>
        </c:manualLayout>
      </c:layout>
      <c:lineChart>
        <c:grouping val="standard"/>
        <c:varyColors val="0"/>
        <c:ser>
          <c:idx val="1"/>
          <c:order val="0"/>
          <c:tx>
            <c:strRef>
              <c:f>Curva_NS!$C$1</c:f>
              <c:strCache>
                <c:ptCount val="1"/>
                <c:pt idx="0">
                  <c:v>spot_%</c:v>
                </c:pt>
              </c:strCache>
            </c:strRef>
          </c:tx>
          <c:cat>
            <c:numRef>
              <c:f>Curva_NS!$B$22:$B$26</c:f>
              <c:numCache>
                <c:formatCode>General</c:formatCode>
                <c:ptCount val="5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cat>
          <c:val>
            <c:numRef>
              <c:f>Curva_NS!$C$22:$C$26</c:f>
              <c:numCache>
                <c:formatCode>General</c:formatCode>
                <c:ptCount val="5"/>
                <c:pt idx="0">
                  <c:v>7.0707000000000004</c:v>
                </c:pt>
                <c:pt idx="1">
                  <c:v>6.7836999999999996</c:v>
                </c:pt>
                <c:pt idx="2">
                  <c:v>7.1421999999999999</c:v>
                </c:pt>
                <c:pt idx="3">
                  <c:v>8.5433000000000003</c:v>
                </c:pt>
                <c:pt idx="4">
                  <c:v>9.9990000000000006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Curva_NS!$D$1</c:f>
              <c:strCache>
                <c:ptCount val="1"/>
                <c:pt idx="0">
                  <c:v>forward_ins_%</c:v>
                </c:pt>
              </c:strCache>
            </c:strRef>
          </c:tx>
          <c:cat>
            <c:numRef>
              <c:f>Curva_NS!$B$22:$B$26</c:f>
              <c:numCache>
                <c:formatCode>General</c:formatCode>
                <c:ptCount val="5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cat>
          <c:val>
            <c:numRef>
              <c:f>Curva_NS!$D$22:$D$26</c:f>
              <c:numCache>
                <c:formatCode>General</c:formatCode>
                <c:ptCount val="5"/>
                <c:pt idx="0">
                  <c:v>5.4916</c:v>
                </c:pt>
                <c:pt idx="1">
                  <c:v>7.1227999999999998</c:v>
                </c:pt>
                <c:pt idx="2">
                  <c:v>9.3303999999999991</c:v>
                </c:pt>
                <c:pt idx="3">
                  <c:v>13.1165</c:v>
                </c:pt>
                <c:pt idx="4">
                  <c:v>15.3826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Curva_NS!$E$1</c:f>
              <c:strCache>
                <c:ptCount val="1"/>
                <c:pt idx="0">
                  <c:v>forward_6m_%</c:v>
                </c:pt>
              </c:strCache>
            </c:strRef>
          </c:tx>
          <c:cat>
            <c:numRef>
              <c:f>Curva_NS!$B$22:$B$26</c:f>
              <c:numCache>
                <c:formatCode>General</c:formatCode>
                <c:ptCount val="5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cat>
          <c:val>
            <c:numRef>
              <c:f>Curva_NS!$E$22:$E$26</c:f>
              <c:numCache>
                <c:formatCode>General</c:formatCode>
                <c:ptCount val="5"/>
                <c:pt idx="0">
                  <c:v>7.2138</c:v>
                </c:pt>
                <c:pt idx="1">
                  <c:v>9.3241999999999994</c:v>
                </c:pt>
                <c:pt idx="2">
                  <c:v>11.400700000000001</c:v>
                </c:pt>
                <c:pt idx="3">
                  <c:v>14.4842</c:v>
                </c:pt>
                <c:pt idx="4">
                  <c:v>16.163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Curva_NS!$F$1</c:f>
              <c:strCache>
                <c:ptCount val="1"/>
                <c:pt idx="0">
                  <c:v>par_%</c:v>
                </c:pt>
              </c:strCache>
            </c:strRef>
          </c:tx>
          <c:cat>
            <c:numRef>
              <c:f>Curva_NS!$B$22:$B$26</c:f>
              <c:numCache>
                <c:formatCode>General</c:formatCode>
                <c:ptCount val="5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cat>
          <c:val>
            <c:numRef>
              <c:f>Curva_NS!$F$22:$F$26</c:f>
              <c:numCache>
                <c:formatCode>General</c:formatCode>
                <c:ptCount val="5"/>
                <c:pt idx="0">
                  <c:v>6.9499000000000004</c:v>
                </c:pt>
                <c:pt idx="1">
                  <c:v>6.9499000000000004</c:v>
                </c:pt>
                <c:pt idx="2">
                  <c:v>7.0179</c:v>
                </c:pt>
                <c:pt idx="3">
                  <c:v>8.3123000000000005</c:v>
                </c:pt>
                <c:pt idx="4">
                  <c:v>9.6129999999999995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954752"/>
        <c:axId val="225491136"/>
      </c:lineChart>
      <c:catAx>
        <c:axId val="22695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491136"/>
        <c:crosses val="autoZero"/>
        <c:auto val="1"/>
        <c:lblAlgn val="ctr"/>
        <c:lblOffset val="100"/>
        <c:noMultiLvlLbl val="0"/>
      </c:catAx>
      <c:valAx>
        <c:axId val="22549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5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176675204756029"/>
          <c:y val="0.10773517440754686"/>
          <c:w val="0.19065876024756165"/>
          <c:h val="0.2969279702106202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Dollar Linked</a:t>
            </a:r>
          </a:p>
        </c:rich>
      </c:tx>
      <c:layout>
        <c:manualLayout>
          <c:xMode val="edge"/>
          <c:yMode val="edge"/>
          <c:x val="0.7717922082028903"/>
          <c:y val="2.41545893719806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3357959884644047E-2"/>
          <c:y val="2.5051394437764246E-2"/>
          <c:w val="0.72781772760332675"/>
          <c:h val="0.9050833319748075"/>
        </c:manualLayout>
      </c:layout>
      <c:lineChart>
        <c:grouping val="standard"/>
        <c:varyColors val="0"/>
        <c:ser>
          <c:idx val="0"/>
          <c:order val="0"/>
          <c:tx>
            <c:strRef>
              <c:f>Curva_NS!$C$1</c:f>
              <c:strCache>
                <c:ptCount val="1"/>
                <c:pt idx="0">
                  <c:v>spot_%</c:v>
                </c:pt>
              </c:strCache>
            </c:strRef>
          </c:tx>
          <c:cat>
            <c:numRef>
              <c:f>Curva_NS!$B$27:$B$33</c:f>
              <c:numCache>
                <c:formatCode>General</c:formatCode>
                <c:ptCount val="7"/>
                <c:pt idx="0">
                  <c:v>8.3299999999999999E-2</c:v>
                </c:pt>
                <c:pt idx="1">
                  <c:v>0.16669999999999999</c:v>
                </c:pt>
                <c:pt idx="2">
                  <c:v>0.25</c:v>
                </c:pt>
                <c:pt idx="3">
                  <c:v>0.33329999999999999</c:v>
                </c:pt>
                <c:pt idx="4">
                  <c:v>0.41670000000000001</c:v>
                </c:pt>
                <c:pt idx="5">
                  <c:v>0.5</c:v>
                </c:pt>
                <c:pt idx="6">
                  <c:v>0.75</c:v>
                </c:pt>
              </c:numCache>
            </c:numRef>
          </c:cat>
          <c:val>
            <c:numRef>
              <c:f>Curva_NS!$C$27:$C$33</c:f>
              <c:numCache>
                <c:formatCode>General</c:formatCode>
                <c:ptCount val="7"/>
                <c:pt idx="0">
                  <c:v>32.930599999999998</c:v>
                </c:pt>
                <c:pt idx="1">
                  <c:v>32.724299999999999</c:v>
                </c:pt>
                <c:pt idx="2">
                  <c:v>32.539099999999998</c:v>
                </c:pt>
                <c:pt idx="3">
                  <c:v>32.372599999999998</c:v>
                </c:pt>
                <c:pt idx="4">
                  <c:v>32.2226</c:v>
                </c:pt>
                <c:pt idx="5">
                  <c:v>32.087299999999999</c:v>
                </c:pt>
                <c:pt idx="6">
                  <c:v>31.754000000000001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Curva_NS!$D$1</c:f>
              <c:strCache>
                <c:ptCount val="1"/>
                <c:pt idx="0">
                  <c:v>forward_ins_%</c:v>
                </c:pt>
              </c:strCache>
            </c:strRef>
          </c:tx>
          <c:cat>
            <c:numRef>
              <c:f>Curva_NS!$B$27:$B$33</c:f>
              <c:numCache>
                <c:formatCode>General</c:formatCode>
                <c:ptCount val="7"/>
                <c:pt idx="0">
                  <c:v>8.3299999999999999E-2</c:v>
                </c:pt>
                <c:pt idx="1">
                  <c:v>0.16669999999999999</c:v>
                </c:pt>
                <c:pt idx="2">
                  <c:v>0.25</c:v>
                </c:pt>
                <c:pt idx="3">
                  <c:v>0.33329999999999999</c:v>
                </c:pt>
                <c:pt idx="4">
                  <c:v>0.41670000000000001</c:v>
                </c:pt>
                <c:pt idx="5">
                  <c:v>0.5</c:v>
                </c:pt>
                <c:pt idx="6">
                  <c:v>0.75</c:v>
                </c:pt>
              </c:numCache>
            </c:numRef>
          </c:cat>
          <c:val>
            <c:numRef>
              <c:f>Curva_NS!$D$27:$D$33</c:f>
              <c:numCache>
                <c:formatCode>General</c:formatCode>
                <c:ptCount val="7"/>
                <c:pt idx="0">
                  <c:v>32.712800000000001</c:v>
                </c:pt>
                <c:pt idx="1">
                  <c:v>32.333599999999997</c:v>
                </c:pt>
                <c:pt idx="2">
                  <c:v>32.012599999999999</c:v>
                </c:pt>
                <c:pt idx="3">
                  <c:v>31.7409</c:v>
                </c:pt>
                <c:pt idx="4">
                  <c:v>31.510899999999999</c:v>
                </c:pt>
                <c:pt idx="5">
                  <c:v>31.316199999999998</c:v>
                </c:pt>
                <c:pt idx="6">
                  <c:v>30.893799999999999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Curva_NS!$F$1</c:f>
              <c:strCache>
                <c:ptCount val="1"/>
                <c:pt idx="0">
                  <c:v>par_%</c:v>
                </c:pt>
              </c:strCache>
            </c:strRef>
          </c:tx>
          <c:cat>
            <c:numRef>
              <c:f>Curva_NS!$B$27:$B$33</c:f>
              <c:numCache>
                <c:formatCode>General</c:formatCode>
                <c:ptCount val="7"/>
                <c:pt idx="0">
                  <c:v>8.3299999999999999E-2</c:v>
                </c:pt>
                <c:pt idx="1">
                  <c:v>0.16669999999999999</c:v>
                </c:pt>
                <c:pt idx="2">
                  <c:v>0.25</c:v>
                </c:pt>
                <c:pt idx="3">
                  <c:v>0.33329999999999999</c:v>
                </c:pt>
                <c:pt idx="4">
                  <c:v>0.41670000000000001</c:v>
                </c:pt>
                <c:pt idx="5">
                  <c:v>0.5</c:v>
                </c:pt>
                <c:pt idx="6">
                  <c:v>0.75</c:v>
                </c:pt>
              </c:numCache>
            </c:numRef>
          </c:cat>
          <c:val>
            <c:numRef>
              <c:f>Curva_NS!$F$27:$F$33</c:f>
              <c:numCache>
                <c:formatCode>General</c:formatCode>
                <c:ptCount val="7"/>
                <c:pt idx="0">
                  <c:v>32.930599999999998</c:v>
                </c:pt>
                <c:pt idx="1">
                  <c:v>32.724299999999999</c:v>
                </c:pt>
                <c:pt idx="2">
                  <c:v>32.539099999999998</c:v>
                </c:pt>
                <c:pt idx="3">
                  <c:v>32.372599999999998</c:v>
                </c:pt>
                <c:pt idx="4">
                  <c:v>32.2226</c:v>
                </c:pt>
                <c:pt idx="5">
                  <c:v>32.087299999999999</c:v>
                </c:pt>
                <c:pt idx="6">
                  <c:v>31.754000000000001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Curva_NS!$H$1</c:f>
              <c:strCache>
                <c:ptCount val="1"/>
                <c:pt idx="0">
                  <c:v>forward_1m_%</c:v>
                </c:pt>
              </c:strCache>
            </c:strRef>
          </c:tx>
          <c:cat>
            <c:numRef>
              <c:f>Curva_NS!$B$27:$B$33</c:f>
              <c:numCache>
                <c:formatCode>General</c:formatCode>
                <c:ptCount val="7"/>
                <c:pt idx="0">
                  <c:v>8.3299999999999999E-2</c:v>
                </c:pt>
                <c:pt idx="1">
                  <c:v>0.16669999999999999</c:v>
                </c:pt>
                <c:pt idx="2">
                  <c:v>0.25</c:v>
                </c:pt>
                <c:pt idx="3">
                  <c:v>0.33329999999999999</c:v>
                </c:pt>
                <c:pt idx="4">
                  <c:v>0.41670000000000001</c:v>
                </c:pt>
                <c:pt idx="5">
                  <c:v>0.5</c:v>
                </c:pt>
                <c:pt idx="6">
                  <c:v>0.75</c:v>
                </c:pt>
              </c:numCache>
            </c:numRef>
          </c:cat>
          <c:val>
            <c:numRef>
              <c:f>Curva_NS!$H$27:$H$33</c:f>
              <c:numCache>
                <c:formatCode>General</c:formatCode>
                <c:ptCount val="7"/>
                <c:pt idx="0">
                  <c:v>32.518300000000004</c:v>
                </c:pt>
                <c:pt idx="1">
                  <c:v>32.169400000000003</c:v>
                </c:pt>
                <c:pt idx="2">
                  <c:v>31.874199999999998</c:v>
                </c:pt>
                <c:pt idx="3">
                  <c:v>31.624400000000001</c:v>
                </c:pt>
                <c:pt idx="4">
                  <c:v>31.4129</c:v>
                </c:pt>
                <c:pt idx="5">
                  <c:v>31.233899999999998</c:v>
                </c:pt>
                <c:pt idx="6">
                  <c:v>30.845300000000002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365376"/>
        <c:axId val="227648064"/>
      </c:lineChart>
      <c:catAx>
        <c:axId val="22736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7648064"/>
        <c:crosses val="autoZero"/>
        <c:auto val="1"/>
        <c:lblAlgn val="ctr"/>
        <c:lblOffset val="100"/>
        <c:noMultiLvlLbl val="0"/>
      </c:catAx>
      <c:valAx>
        <c:axId val="22764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36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176675204756029"/>
          <c:y val="0.10773517440754686"/>
          <c:w val="0.19065876024756165"/>
          <c:h val="0.2969279702106202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0</xdr:row>
      <xdr:rowOff>53340</xdr:rowOff>
    </xdr:from>
    <xdr:to>
      <xdr:col>15</xdr:col>
      <xdr:colOff>655320</xdr:colOff>
      <xdr:row>17</xdr:row>
      <xdr:rowOff>15240</xdr:rowOff>
    </xdr:to>
    <xdr:graphicFrame macro="">
      <xdr:nvGraphicFramePr>
        <xdr:cNvPr id="4" name="Hard_Dollar" title="Hard_Dolla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17</xdr:row>
      <xdr:rowOff>22860</xdr:rowOff>
    </xdr:from>
    <xdr:to>
      <xdr:col>15</xdr:col>
      <xdr:colOff>632460</xdr:colOff>
      <xdr:row>34</xdr:row>
      <xdr:rowOff>7620</xdr:rowOff>
    </xdr:to>
    <xdr:graphicFrame macro="">
      <xdr:nvGraphicFramePr>
        <xdr:cNvPr id="6" name="Hard_Dollar" title="Hard_Dollar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624840</xdr:colOff>
      <xdr:row>16</xdr:row>
      <xdr:rowOff>144780</xdr:rowOff>
    </xdr:to>
    <xdr:graphicFrame macro="">
      <xdr:nvGraphicFramePr>
        <xdr:cNvPr id="7" name="Hard_Dollar" title="Hard_Dollar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784860</xdr:colOff>
      <xdr:row>17</xdr:row>
      <xdr:rowOff>0</xdr:rowOff>
    </xdr:from>
    <xdr:to>
      <xdr:col>23</xdr:col>
      <xdr:colOff>617220</xdr:colOff>
      <xdr:row>33</xdr:row>
      <xdr:rowOff>167640</xdr:rowOff>
    </xdr:to>
    <xdr:graphicFrame macro="">
      <xdr:nvGraphicFramePr>
        <xdr:cNvPr id="9" name="Hard_Dollar" title="Hard_Dollar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curvas_NS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urvas_NS" connectionId="1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id="1" name="Tabla1" displayName="Tabla1" ref="A1:I18" totalsRowShown="0" dataDxfId="9" dataCellStyle="Millares">
  <autoFilter ref="A1:I18"/>
  <tableColumns count="9">
    <tableColumn id="1" name="ticker" dataDxfId="8" dataCellStyle="Millares"/>
    <tableColumn id="2" name="tipo" dataDxfId="7" dataCellStyle="Millares"/>
    <tableColumn id="3" name="precio_sucio" dataDxfId="6" dataCellStyle="Millares"/>
    <tableColumn id="10" name="precio_teorico" dataDxfId="5" dataCellStyle="Millares"/>
    <tableColumn id="4" name="ytm" dataDxfId="4" dataCellStyle="Millares"/>
    <tableColumn id="5" name="dur_mac" dataDxfId="3" dataCellStyle="Millares"/>
    <tableColumn id="6" name="dur_mod" dataDxfId="2" dataCellStyle="Millares"/>
    <tableColumn id="7" name="convexidad" dataDxfId="1" dataCellStyle="Millares"/>
    <tableColumn id="8" name="plazo_anos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C2" sqref="C2:I18"/>
    </sheetView>
  </sheetViews>
  <sheetFormatPr baseColWidth="10" defaultRowHeight="14.4" x14ac:dyDescent="0.3"/>
  <cols>
    <col min="1" max="1" width="15.88671875" style="2" customWidth="1"/>
    <col min="2" max="2" width="13.44140625" style="2" customWidth="1"/>
    <col min="3" max="4" width="18.77734375" style="4" customWidth="1"/>
    <col min="5" max="9" width="16.33203125" style="3" customWidth="1"/>
    <col min="10" max="10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30" t="s">
        <v>8</v>
      </c>
      <c r="B2" t="s">
        <v>9</v>
      </c>
      <c r="C2">
        <v>84860</v>
      </c>
      <c r="D2">
        <v>85983.582299999995</v>
      </c>
      <c r="E2">
        <v>9.3999078768915501E-2</v>
      </c>
      <c r="F2">
        <v>1.9635</v>
      </c>
      <c r="G2">
        <v>1.8754</v>
      </c>
      <c r="H2">
        <v>6.1246</v>
      </c>
      <c r="I2">
        <v>3.84109589041095</v>
      </c>
    </row>
    <row r="3" spans="1:9" x14ac:dyDescent="0.3">
      <c r="A3" s="30" t="s">
        <v>10</v>
      </c>
      <c r="B3" t="s">
        <v>9</v>
      </c>
      <c r="C3">
        <v>115560</v>
      </c>
      <c r="D3">
        <v>118485.817</v>
      </c>
      <c r="E3">
        <v>0.10672845276325001</v>
      </c>
      <c r="F3">
        <v>5.4024999999999999</v>
      </c>
      <c r="G3">
        <v>5.1288999999999998</v>
      </c>
      <c r="H3">
        <v>36.677500000000002</v>
      </c>
      <c r="I3">
        <v>8.8438356164383496</v>
      </c>
    </row>
    <row r="4" spans="1:9" x14ac:dyDescent="0.3">
      <c r="A4" s="30" t="s">
        <v>11</v>
      </c>
      <c r="B4" t="s">
        <v>9</v>
      </c>
      <c r="C4">
        <v>82580</v>
      </c>
      <c r="D4">
        <v>83308.529299999995</v>
      </c>
      <c r="E4">
        <v>8.8975314461016697E-2</v>
      </c>
      <c r="F4">
        <v>1.5207999999999999</v>
      </c>
      <c r="G4">
        <v>1.456</v>
      </c>
      <c r="H4">
        <v>3.7978999999999998</v>
      </c>
      <c r="I4">
        <v>2.84109589041095</v>
      </c>
    </row>
    <row r="5" spans="1:9" x14ac:dyDescent="0.3">
      <c r="A5" s="30" t="s">
        <v>12</v>
      </c>
      <c r="B5" t="s">
        <v>9</v>
      </c>
      <c r="C5">
        <v>108800</v>
      </c>
      <c r="D5">
        <v>110361.6054</v>
      </c>
      <c r="E5">
        <v>0.104832764045021</v>
      </c>
      <c r="F5">
        <v>5.798</v>
      </c>
      <c r="G5">
        <v>5.5092999999999996</v>
      </c>
      <c r="H5">
        <v>50.666499999999999</v>
      </c>
      <c r="I5">
        <v>14.8493150684931</v>
      </c>
    </row>
    <row r="6" spans="1:9" x14ac:dyDescent="0.3">
      <c r="A6" s="30" t="s">
        <v>13</v>
      </c>
      <c r="B6" t="s">
        <v>9</v>
      </c>
      <c r="C6">
        <v>120750</v>
      </c>
      <c r="D6">
        <v>124611.6213</v>
      </c>
      <c r="E6">
        <v>0.10778989664336799</v>
      </c>
      <c r="F6">
        <v>4.5639000000000003</v>
      </c>
      <c r="G6">
        <v>4.3304999999999998</v>
      </c>
      <c r="H6">
        <v>32.2117</v>
      </c>
      <c r="I6">
        <v>11.3506849315068</v>
      </c>
    </row>
    <row r="7" spans="1:9" x14ac:dyDescent="0.3">
      <c r="A7" s="31" t="s">
        <v>14</v>
      </c>
      <c r="B7" t="s">
        <v>15</v>
      </c>
      <c r="C7">
        <v>147800</v>
      </c>
      <c r="D7">
        <v>146323.96220000001</v>
      </c>
      <c r="E7">
        <v>4.76026781304901E-2</v>
      </c>
      <c r="F7">
        <v>0.81369999999999998</v>
      </c>
      <c r="G7">
        <v>0.77669999999999995</v>
      </c>
      <c r="H7">
        <v>1.4758</v>
      </c>
      <c r="I7">
        <v>0.81369863013698596</v>
      </c>
    </row>
    <row r="8" spans="1:9" x14ac:dyDescent="0.3">
      <c r="A8" s="31" t="s">
        <v>16</v>
      </c>
      <c r="B8" t="s">
        <v>15</v>
      </c>
      <c r="C8">
        <v>125880</v>
      </c>
      <c r="D8">
        <v>128051.9804</v>
      </c>
      <c r="E8">
        <v>0.115395491767596</v>
      </c>
      <c r="F8">
        <v>1.8164</v>
      </c>
      <c r="G8">
        <v>1.6285000000000001</v>
      </c>
      <c r="H8">
        <v>5.1158999999999999</v>
      </c>
      <c r="I8">
        <v>1.81643835616438</v>
      </c>
    </row>
    <row r="9" spans="1:9" x14ac:dyDescent="0.3">
      <c r="A9" s="31" t="s">
        <v>17</v>
      </c>
      <c r="B9" t="s">
        <v>15</v>
      </c>
      <c r="C9">
        <v>119450</v>
      </c>
      <c r="D9">
        <v>117854.52250000001</v>
      </c>
      <c r="E9">
        <v>0.116456720191359</v>
      </c>
      <c r="F9">
        <v>2.2766999999999999</v>
      </c>
      <c r="G9">
        <v>2.0392000000000001</v>
      </c>
      <c r="H9">
        <v>7.4600999999999997</v>
      </c>
      <c r="I9">
        <v>2.27671232876712</v>
      </c>
    </row>
    <row r="10" spans="1:9" x14ac:dyDescent="0.3">
      <c r="A10" s="31" t="s">
        <v>18</v>
      </c>
      <c r="B10" t="s">
        <v>15</v>
      </c>
      <c r="C10">
        <v>149000</v>
      </c>
      <c r="D10">
        <v>148813.14230000001</v>
      </c>
      <c r="E10">
        <v>8.6436521070524894E-2</v>
      </c>
      <c r="F10">
        <v>0.3589</v>
      </c>
      <c r="G10">
        <v>0.33029999999999998</v>
      </c>
      <c r="H10">
        <v>0.48770000000000002</v>
      </c>
      <c r="I10">
        <v>0.35890410958904101</v>
      </c>
    </row>
    <row r="11" spans="1:9" x14ac:dyDescent="0.3">
      <c r="A11" s="31" t="s">
        <v>19</v>
      </c>
      <c r="B11" t="s">
        <v>15</v>
      </c>
      <c r="C11">
        <v>147100</v>
      </c>
      <c r="D11">
        <v>148107.65820000001</v>
      </c>
      <c r="E11">
        <v>7.8379243020523001E-2</v>
      </c>
      <c r="F11">
        <v>0.56440000000000001</v>
      </c>
      <c r="G11">
        <v>0.52339999999999998</v>
      </c>
      <c r="H11">
        <v>0.88290000000000002</v>
      </c>
      <c r="I11">
        <v>0.56438356164383496</v>
      </c>
    </row>
    <row r="12" spans="1:9" x14ac:dyDescent="0.3">
      <c r="A12" s="32" t="s">
        <v>20</v>
      </c>
      <c r="B12" t="s">
        <v>21</v>
      </c>
      <c r="C12">
        <v>728.7</v>
      </c>
      <c r="D12">
        <v>728.72040000000004</v>
      </c>
      <c r="E12">
        <v>9.51870438476876E-2</v>
      </c>
      <c r="F12">
        <v>0.17530000000000001</v>
      </c>
      <c r="G12">
        <v>0.16739999999999999</v>
      </c>
      <c r="H12">
        <v>0.11840000000000001</v>
      </c>
      <c r="I12">
        <v>0.17534246575342399</v>
      </c>
    </row>
    <row r="13" spans="1:9" x14ac:dyDescent="0.3">
      <c r="A13" s="32" t="s">
        <v>22</v>
      </c>
      <c r="B13" t="s">
        <v>21</v>
      </c>
      <c r="C13">
        <v>1697</v>
      </c>
      <c r="D13">
        <v>1719.1068</v>
      </c>
      <c r="E13">
        <v>0.102174004261273</v>
      </c>
      <c r="F13">
        <v>1.1142000000000001</v>
      </c>
      <c r="G13">
        <v>1.0601</v>
      </c>
      <c r="H13">
        <v>2.2926000000000002</v>
      </c>
      <c r="I13">
        <v>2.17808219178082</v>
      </c>
    </row>
    <row r="14" spans="1:9" x14ac:dyDescent="0.3">
      <c r="A14" s="32" t="s">
        <v>23</v>
      </c>
      <c r="B14" t="s">
        <v>21</v>
      </c>
      <c r="C14">
        <v>388.8</v>
      </c>
      <c r="D14">
        <v>388.53609999999998</v>
      </c>
      <c r="E14">
        <v>6.7423553771872494E-2</v>
      </c>
      <c r="F14">
        <v>0.81369999999999998</v>
      </c>
      <c r="G14">
        <v>0.76229999999999998</v>
      </c>
      <c r="H14">
        <v>1.4758</v>
      </c>
      <c r="I14">
        <v>0.81369863013698596</v>
      </c>
    </row>
    <row r="15" spans="1:9" x14ac:dyDescent="0.3">
      <c r="A15" s="32" t="s">
        <v>24</v>
      </c>
      <c r="B15" t="s">
        <v>21</v>
      </c>
      <c r="C15">
        <v>345.95</v>
      </c>
      <c r="D15">
        <v>347.76060000000001</v>
      </c>
      <c r="E15">
        <v>9.8026270176462205E-2</v>
      </c>
      <c r="F15">
        <v>1.8164</v>
      </c>
      <c r="G15">
        <v>1.6543000000000001</v>
      </c>
      <c r="H15">
        <v>5.1158999999999999</v>
      </c>
      <c r="I15">
        <v>1.81643835616438</v>
      </c>
    </row>
    <row r="16" spans="1:9" x14ac:dyDescent="0.3">
      <c r="A16" s="33" t="s">
        <v>25</v>
      </c>
      <c r="B16" t="s">
        <v>26</v>
      </c>
      <c r="C16">
        <v>114.75</v>
      </c>
      <c r="D16">
        <v>114.72969999999999</v>
      </c>
      <c r="E16">
        <v>0.32619320834142301</v>
      </c>
      <c r="F16">
        <v>6.5799999999999997E-2</v>
      </c>
      <c r="G16">
        <v>4.9599999999999998E-2</v>
      </c>
      <c r="H16">
        <v>7.0099999999999996E-2</v>
      </c>
      <c r="I16">
        <v>6.5753424657534199E-2</v>
      </c>
    </row>
    <row r="17" spans="1:9" x14ac:dyDescent="0.3">
      <c r="A17" s="33" t="s">
        <v>27</v>
      </c>
      <c r="B17" t="s">
        <v>26</v>
      </c>
      <c r="C17">
        <v>121.52</v>
      </c>
      <c r="D17">
        <v>121.6345</v>
      </c>
      <c r="E17">
        <v>0.33112869666487599</v>
      </c>
      <c r="F17">
        <v>0.2329</v>
      </c>
      <c r="G17">
        <v>0.1749</v>
      </c>
      <c r="H17">
        <v>0.28710000000000002</v>
      </c>
      <c r="I17">
        <v>0.232876712328767</v>
      </c>
    </row>
    <row r="18" spans="1:9" x14ac:dyDescent="0.3">
      <c r="A18" s="33" t="s">
        <v>28</v>
      </c>
      <c r="B18" t="s">
        <v>26</v>
      </c>
      <c r="C18">
        <v>123.99</v>
      </c>
      <c r="D18">
        <v>123.8664</v>
      </c>
      <c r="E18">
        <v>0.31595895258810802</v>
      </c>
      <c r="F18">
        <v>0.73150000000000004</v>
      </c>
      <c r="G18">
        <v>0.55589999999999995</v>
      </c>
      <c r="H18">
        <v>1.2665999999999999</v>
      </c>
      <c r="I18">
        <v>0.73150684931506804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C3" sqref="C3:E13"/>
    </sheetView>
  </sheetViews>
  <sheetFormatPr baseColWidth="10" defaultRowHeight="14.4" x14ac:dyDescent="0.3"/>
  <cols>
    <col min="1" max="1" width="10.88671875" style="11" bestFit="1" customWidth="1"/>
    <col min="2" max="2" width="11.21875" style="11" bestFit="1" customWidth="1"/>
    <col min="3" max="3" width="11.33203125" style="7" bestFit="1" customWidth="1"/>
    <col min="4" max="4" width="14" style="11" bestFit="1" customWidth="1"/>
    <col min="5" max="5" width="12.109375" style="11" bestFit="1" customWidth="1"/>
    <col min="6" max="6" width="12.5546875" style="7" customWidth="1"/>
    <col min="7" max="7" width="14" style="7" bestFit="1" customWidth="1"/>
    <col min="8" max="8" width="12.109375" style="11" bestFit="1" customWidth="1"/>
    <col min="9" max="9" width="11" style="7" customWidth="1"/>
    <col min="10" max="10" width="14" style="7" bestFit="1" customWidth="1"/>
    <col min="11" max="11" width="12.109375" style="11" bestFit="1" customWidth="1"/>
    <col min="12" max="12" width="9.44140625" style="7" customWidth="1"/>
    <col min="13" max="13" width="14" style="7" bestFit="1" customWidth="1"/>
    <col min="14" max="14" width="12.109375" style="11" bestFit="1" customWidth="1"/>
    <col min="15" max="15" width="9.33203125" style="7" customWidth="1"/>
    <col min="16" max="16" width="14" style="7" bestFit="1" customWidth="1"/>
    <col min="17" max="17" width="12.109375" style="11" bestFit="1" customWidth="1"/>
    <col min="18" max="16384" width="11.5546875" style="11"/>
  </cols>
  <sheetData>
    <row r="1" spans="1:17" x14ac:dyDescent="0.3">
      <c r="C1" s="8"/>
      <c r="D1" s="12" t="s">
        <v>8</v>
      </c>
      <c r="E1" s="12"/>
      <c r="F1" s="8"/>
      <c r="G1" s="8" t="s">
        <v>10</v>
      </c>
      <c r="H1" s="12"/>
      <c r="I1" s="8"/>
      <c r="J1" s="8" t="s">
        <v>11</v>
      </c>
      <c r="K1" s="12"/>
      <c r="L1" s="8"/>
      <c r="M1" s="8" t="s">
        <v>12</v>
      </c>
      <c r="N1" s="12"/>
      <c r="O1" s="8"/>
      <c r="P1" s="8" t="s">
        <v>13</v>
      </c>
      <c r="Q1" s="12"/>
    </row>
    <row r="2" spans="1:17" x14ac:dyDescent="0.3">
      <c r="A2" s="13" t="s">
        <v>29</v>
      </c>
      <c r="B2" s="14" t="s">
        <v>40</v>
      </c>
      <c r="C2" s="9" t="s">
        <v>31</v>
      </c>
      <c r="D2" s="14" t="s">
        <v>33</v>
      </c>
      <c r="E2" s="14" t="s">
        <v>32</v>
      </c>
      <c r="F2" s="9" t="s">
        <v>31</v>
      </c>
      <c r="G2" s="9" t="s">
        <v>33</v>
      </c>
      <c r="H2" s="14" t="s">
        <v>32</v>
      </c>
      <c r="I2" s="9" t="s">
        <v>31</v>
      </c>
      <c r="J2" s="9" t="s">
        <v>33</v>
      </c>
      <c r="K2" s="14" t="s">
        <v>32</v>
      </c>
      <c r="L2" s="9" t="s">
        <v>31</v>
      </c>
      <c r="M2" s="9" t="s">
        <v>33</v>
      </c>
      <c r="N2" s="14" t="s">
        <v>32</v>
      </c>
      <c r="O2" s="9" t="s">
        <v>31</v>
      </c>
      <c r="P2" s="9" t="s">
        <v>33</v>
      </c>
      <c r="Q2" s="14" t="s">
        <v>32</v>
      </c>
    </row>
    <row r="3" spans="1:17" x14ac:dyDescent="0.3">
      <c r="A3" s="15">
        <v>-300</v>
      </c>
      <c r="B3" s="10">
        <f>A3/10000</f>
        <v>-0.03</v>
      </c>
      <c r="C3" s="19">
        <f>C$8+D3</f>
        <v>89930.294199800002</v>
      </c>
      <c r="D3" s="18">
        <f>(-$B3*VLOOKUP(Sens_hard_dollar!D$1,Tabla1[],6,0)+0.5*VLOOKUP(Sens_hard_dollar!D$1,Tabla1[],7,0)*$B3*$B3)*Sens_hard_dollar!C$8</f>
        <v>5070.2941997999997</v>
      </c>
      <c r="E3" s="22">
        <f>(C3/C$8-1)</f>
        <v>5.9748930000000033E-2</v>
      </c>
      <c r="F3" s="19">
        <f>F$8+G3</f>
        <v>134556.10005780001</v>
      </c>
      <c r="G3" s="18">
        <f>(-$B3*VLOOKUP(Sens_hard_dollar!G$1,Tabla1[],6,0)+0.5*VLOOKUP(Sens_hard_dollar!G$1,Tabla1[],7,0)*$B3*$B3)*Sens_hard_dollar!F$8</f>
        <v>18996.100057799998</v>
      </c>
      <c r="H3" s="22">
        <f>(F3/F$8-1)</f>
        <v>0.16438300500000014</v>
      </c>
      <c r="I3" s="19">
        <f>I$8+J3</f>
        <v>86401.736336000002</v>
      </c>
      <c r="J3" s="18">
        <f>(-$B3*VLOOKUP(Sens_hard_dollar!J$1,Tabla1[],6,0)+0.5*VLOOKUP(Sens_hard_dollar!J$1,Tabla1[],7,0)*$B3*$B3)*Sens_hard_dollar!I$8</f>
        <v>3821.7363359999999</v>
      </c>
      <c r="K3" s="22">
        <f>(I3/I$8-1)</f>
        <v>4.6279200000000076E-2</v>
      </c>
      <c r="L3" s="19">
        <f>L$8+M3</f>
        <v>127994.407328</v>
      </c>
      <c r="M3" s="18">
        <f>(-$B3*VLOOKUP(Sens_hard_dollar!M$1,Tabla1[],6,0)+0.5*VLOOKUP(Sens_hard_dollar!M$1,Tabla1[],7,0)*$B3*$B3)*Sens_hard_dollar!L$8</f>
        <v>19194.407327999998</v>
      </c>
      <c r="N3" s="22">
        <f>(L3/L$8-1)</f>
        <v>0.17641918500000009</v>
      </c>
      <c r="O3" s="19">
        <f>O$8+P3</f>
        <v>137518.03629374999</v>
      </c>
      <c r="P3" s="18">
        <f>(-$B3*VLOOKUP(Sens_hard_dollar!P$1,Tabla1[],6,0)+0.5*VLOOKUP(Sens_hard_dollar!P$1,Tabla1[],7,0)*$B3*$B3)*Sens_hard_dollar!O$8</f>
        <v>16768.036293750003</v>
      </c>
      <c r="Q3" s="22">
        <f>(O3/O$8-1)</f>
        <v>0.13886572499999983</v>
      </c>
    </row>
    <row r="4" spans="1:17" x14ac:dyDescent="0.3">
      <c r="A4" s="16">
        <v>-200</v>
      </c>
      <c r="B4" s="10">
        <f t="shared" ref="B4:B13" si="0">A4/10000</f>
        <v>-0.02</v>
      </c>
      <c r="C4" s="19">
        <f t="shared" ref="C4:C6" si="1">C$8+D4</f>
        <v>88224.281488799999</v>
      </c>
      <c r="D4" s="18">
        <f>(-$B4*VLOOKUP(Sens_hard_dollar!D$1,Tabla1[],6,0)+0.5*VLOOKUP(Sens_hard_dollar!D$1,Tabla1[],7,0)*$B4*$B4)*Sens_hard_dollar!C$8</f>
        <v>3364.2814887999998</v>
      </c>
      <c r="E4" s="22">
        <f t="shared" ref="E4:E13" si="2">(C4/C$8-1)</f>
        <v>3.9645079999999888E-2</v>
      </c>
      <c r="F4" s="19">
        <f t="shared" ref="F4:F6" si="3">F$8+G4</f>
        <v>128164.7971368</v>
      </c>
      <c r="G4" s="18">
        <f>(-$B4*VLOOKUP(Sens_hard_dollar!G$1,Tabla1[],6,0)+0.5*VLOOKUP(Sens_hard_dollar!G$1,Tabla1[],7,0)*$B4*$B4)*Sens_hard_dollar!F$8</f>
        <v>12604.7971368</v>
      </c>
      <c r="H4" s="22">
        <f t="shared" ref="H4:H13" si="4">(F4/F$8-1)</f>
        <v>0.10907577999999996</v>
      </c>
      <c r="I4" s="19">
        <f t="shared" ref="I4:I6" si="5">I$8+J4</f>
        <v>85115.800575999994</v>
      </c>
      <c r="J4" s="18">
        <f>(-$B4*VLOOKUP(Sens_hard_dollar!J$1,Tabla1[],6,0)+0.5*VLOOKUP(Sens_hard_dollar!J$1,Tabla1[],7,0)*$B4*$B4)*Sens_hard_dollar!I$8</f>
        <v>2535.8005759999996</v>
      </c>
      <c r="K4" s="22">
        <f t="shared" ref="K4:K13" si="6">(I4/I$8-1)</f>
        <v>3.0707199999999935E-2</v>
      </c>
      <c r="L4" s="19">
        <f t="shared" ref="L4:L6" si="7">L$8+M4</f>
        <v>121536.330368</v>
      </c>
      <c r="M4" s="18">
        <f>(-$B4*VLOOKUP(Sens_hard_dollar!M$1,Tabla1[],6,0)+0.5*VLOOKUP(Sens_hard_dollar!M$1,Tabla1[],7,0)*$B4*$B4)*Sens_hard_dollar!L$8</f>
        <v>12736.330368000001</v>
      </c>
      <c r="N4" s="22">
        <f t="shared" ref="N4:N13" si="8">(L4/L$8-1)</f>
        <v>0.11706185999999996</v>
      </c>
      <c r="O4" s="19">
        <f t="shared" ref="O4:O6" si="9">O$8+P4</f>
        <v>131876.40007500001</v>
      </c>
      <c r="P4" s="18">
        <f>(-$B4*VLOOKUP(Sens_hard_dollar!P$1,Tabla1[],6,0)+0.5*VLOOKUP(Sens_hard_dollar!P$1,Tabla1[],7,0)*$B4*$B4)*Sens_hard_dollar!O$8</f>
        <v>11126.400075000001</v>
      </c>
      <c r="Q4" s="22">
        <f t="shared" ref="Q4:Q13" si="10">(O4/O$8-1)</f>
        <v>9.2144100000000062E-2</v>
      </c>
    </row>
    <row r="5" spans="1:17" x14ac:dyDescent="0.3">
      <c r="A5" s="15">
        <v>-100</v>
      </c>
      <c r="B5" s="10">
        <f t="shared" si="0"/>
        <v>-0.01</v>
      </c>
      <c r="C5" s="19">
        <f t="shared" si="1"/>
        <v>86534.183422200003</v>
      </c>
      <c r="D5" s="18">
        <f>(-$B5*VLOOKUP(Sens_hard_dollar!D$1,Tabla1[],6,0)+0.5*VLOOKUP(Sens_hard_dollar!D$1,Tabla1[],7,0)*$B5*$B5)*Sens_hard_dollar!C$8</f>
        <v>1674.1834222</v>
      </c>
      <c r="E5" s="22">
        <f t="shared" si="2"/>
        <v>1.9728769999999951E-2</v>
      </c>
      <c r="F5" s="19">
        <f t="shared" si="3"/>
        <v>121832.7637842</v>
      </c>
      <c r="G5" s="18">
        <f>(-$B5*VLOOKUP(Sens_hard_dollar!G$1,Tabla1[],6,0)+0.5*VLOOKUP(Sens_hard_dollar!G$1,Tabla1[],7,0)*$B5*$B5)*Sens_hard_dollar!F$8</f>
        <v>6272.7637841999995</v>
      </c>
      <c r="H5" s="22">
        <f t="shared" si="4"/>
        <v>5.4281444999999984E-2</v>
      </c>
      <c r="I5" s="19">
        <f t="shared" si="5"/>
        <v>83841.888464000003</v>
      </c>
      <c r="J5" s="18">
        <f>(-$B5*VLOOKUP(Sens_hard_dollar!J$1,Tabla1[],6,0)+0.5*VLOOKUP(Sens_hard_dollar!J$1,Tabla1[],7,0)*$B5*$B5)*Sens_hard_dollar!I$8</f>
        <v>1261.8884639999999</v>
      </c>
      <c r="K5" s="22">
        <f t="shared" si="6"/>
        <v>1.5280799999999983E-2</v>
      </c>
      <c r="L5" s="19">
        <f t="shared" si="7"/>
        <v>115138.194592</v>
      </c>
      <c r="M5" s="18">
        <f>(-$B5*VLOOKUP(Sens_hard_dollar!M$1,Tabla1[],6,0)+0.5*VLOOKUP(Sens_hard_dollar!M$1,Tabla1[],7,0)*$B5*$B5)*Sens_hard_dollar!L$8</f>
        <v>6338.1945920000007</v>
      </c>
      <c r="N5" s="22">
        <f t="shared" si="8"/>
        <v>5.8255465000000006E-2</v>
      </c>
      <c r="O5" s="19">
        <f t="shared" si="9"/>
        <v>126287.05464375</v>
      </c>
      <c r="P5" s="18">
        <f>(-$B5*VLOOKUP(Sens_hard_dollar!P$1,Tabla1[],6,0)+0.5*VLOOKUP(Sens_hard_dollar!P$1,Tabla1[],7,0)*$B5*$B5)*Sens_hard_dollar!O$8</f>
        <v>5537.0546437500007</v>
      </c>
      <c r="Q5" s="22">
        <f t="shared" si="10"/>
        <v>4.5855525000000119E-2</v>
      </c>
    </row>
    <row r="6" spans="1:17" x14ac:dyDescent="0.3">
      <c r="A6" s="16">
        <v>-50</v>
      </c>
      <c r="B6" s="10">
        <f t="shared" si="0"/>
        <v>-5.0000000000000001E-3</v>
      </c>
      <c r="C6" s="19">
        <f t="shared" si="1"/>
        <v>85695.102380550001</v>
      </c>
      <c r="D6" s="18">
        <f>(-$B6*VLOOKUP(Sens_hard_dollar!D$1,Tabla1[],6,0)+0.5*VLOOKUP(Sens_hard_dollar!D$1,Tabla1[],7,0)*$B6*$B6)*Sens_hard_dollar!C$8</f>
        <v>835.10238055000002</v>
      </c>
      <c r="E6" s="22">
        <f t="shared" si="2"/>
        <v>9.8409425000001161E-3</v>
      </c>
      <c r="F6" s="19">
        <f t="shared" si="3"/>
        <v>118688.97319605001</v>
      </c>
      <c r="G6" s="18">
        <f>(-$B6*VLOOKUP(Sens_hard_dollar!G$1,Tabla1[],6,0)+0.5*VLOOKUP(Sens_hard_dollar!G$1,Tabla1[],7,0)*$B6*$B6)*Sens_hard_dollar!F$8</f>
        <v>3128.9731960499998</v>
      </c>
      <c r="H6" s="22">
        <f t="shared" si="4"/>
        <v>2.7076611250000049E-2</v>
      </c>
      <c r="I6" s="19">
        <f t="shared" si="5"/>
        <v>83209.441275999998</v>
      </c>
      <c r="J6" s="18">
        <f>(-$B6*VLOOKUP(Sens_hard_dollar!J$1,Tabla1[],6,0)+0.5*VLOOKUP(Sens_hard_dollar!J$1,Tabla1[],7,0)*$B6*$B6)*Sens_hard_dollar!I$8</f>
        <v>629.44127600000002</v>
      </c>
      <c r="K6" s="22">
        <f t="shared" si="6"/>
        <v>7.6221999999999124E-3</v>
      </c>
      <c r="L6" s="19">
        <f t="shared" si="7"/>
        <v>111961.60464800001</v>
      </c>
      <c r="M6" s="18">
        <f>(-$B6*VLOOKUP(Sens_hard_dollar!M$1,Tabla1[],6,0)+0.5*VLOOKUP(Sens_hard_dollar!M$1,Tabla1[],7,0)*$B6*$B6)*Sens_hard_dollar!L$8</f>
        <v>3161.6046480000005</v>
      </c>
      <c r="N6" s="22">
        <f t="shared" si="8"/>
        <v>2.9058866249999982E-2</v>
      </c>
      <c r="O6" s="19">
        <f t="shared" si="9"/>
        <v>123511.9909734375</v>
      </c>
      <c r="P6" s="18">
        <f>(-$B6*VLOOKUP(Sens_hard_dollar!P$1,Tabla1[],6,0)+0.5*VLOOKUP(Sens_hard_dollar!P$1,Tabla1[],7,0)*$B6*$B6)*Sens_hard_dollar!O$8</f>
        <v>2761.9909734375001</v>
      </c>
      <c r="Q6" s="22">
        <f t="shared" si="10"/>
        <v>2.2873631249999971E-2</v>
      </c>
    </row>
    <row r="7" spans="1:17" x14ac:dyDescent="0.3">
      <c r="A7" s="15">
        <v>-25</v>
      </c>
      <c r="B7" s="10">
        <f t="shared" si="0"/>
        <v>-2.5000000000000001E-3</v>
      </c>
      <c r="C7" s="19">
        <f>C$8+D7</f>
        <v>85277.053857637497</v>
      </c>
      <c r="D7" s="18">
        <f>(-$B7*VLOOKUP(Sens_hard_dollar!D$1,Tabla1[],6,0)+0.5*VLOOKUP(Sens_hard_dollar!D$1,Tabla1[],7,0)*$B7*$B7)*Sens_hard_dollar!C$8</f>
        <v>417.05385763750002</v>
      </c>
      <c r="E7" s="22">
        <f t="shared" si="2"/>
        <v>4.9146106249999821E-3</v>
      </c>
      <c r="F7" s="19">
        <f>F$8+G7</f>
        <v>117122.6344240125</v>
      </c>
      <c r="G7" s="18">
        <f>(-$B7*VLOOKUP(Sens_hard_dollar!G$1,Tabla1[],6,0)+0.5*VLOOKUP(Sens_hard_dollar!G$1,Tabla1[],7,0)*$B7*$B7)*Sens_hard_dollar!F$8</f>
        <v>1562.6344240124999</v>
      </c>
      <c r="H7" s="22">
        <f t="shared" si="4"/>
        <v>1.3522277812499928E-2</v>
      </c>
      <c r="I7" s="19">
        <f>I$8+J7</f>
        <v>82894.344899000003</v>
      </c>
      <c r="J7" s="18">
        <f>(-$B7*VLOOKUP(Sens_hard_dollar!J$1,Tabla1[],6,0)+0.5*VLOOKUP(Sens_hard_dollar!J$1,Tabla1[],7,0)*$B7*$B7)*Sens_hard_dollar!I$8</f>
        <v>314.344899</v>
      </c>
      <c r="K7" s="22">
        <f t="shared" si="6"/>
        <v>3.8065499999999641E-3</v>
      </c>
      <c r="L7" s="19">
        <f>L$8+M7</f>
        <v>110378.929162</v>
      </c>
      <c r="M7" s="18">
        <f>(-$B7*VLOOKUP(Sens_hard_dollar!M$1,Tabla1[],6,0)+0.5*VLOOKUP(Sens_hard_dollar!M$1,Tabla1[],7,0)*$B7*$B7)*Sens_hard_dollar!L$8</f>
        <v>1578.9291620000001</v>
      </c>
      <c r="N7" s="22">
        <f t="shared" si="8"/>
        <v>1.4512216562500013E-2</v>
      </c>
      <c r="O7" s="19">
        <f>O$8+P7</f>
        <v>122129.36139960938</v>
      </c>
      <c r="P7" s="18">
        <f>(-$B7*VLOOKUP(Sens_hard_dollar!P$1,Tabla1[],6,0)+0.5*VLOOKUP(Sens_hard_dollar!P$1,Tabla1[],7,0)*$B7*$B7)*Sens_hard_dollar!O$8</f>
        <v>1379.3613996093752</v>
      </c>
      <c r="Q7" s="22">
        <f t="shared" si="10"/>
        <v>1.1423282812500046E-2</v>
      </c>
    </row>
    <row r="8" spans="1:17" x14ac:dyDescent="0.3">
      <c r="A8" s="16" t="s">
        <v>30</v>
      </c>
      <c r="B8" s="10">
        <v>0</v>
      </c>
      <c r="C8" s="6">
        <f>VLOOKUP(Sens_hard_dollar!D1,Tabla1[],3,0)</f>
        <v>84860</v>
      </c>
      <c r="D8" s="17" t="s">
        <v>30</v>
      </c>
      <c r="E8" s="1" t="s">
        <v>30</v>
      </c>
      <c r="F8" s="6">
        <f>VLOOKUP(Sens_hard_dollar!G1,Tabla1[],3,0)</f>
        <v>115560</v>
      </c>
      <c r="G8" s="17" t="s">
        <v>30</v>
      </c>
      <c r="H8" s="1" t="s">
        <v>30</v>
      </c>
      <c r="I8" s="6">
        <f>VLOOKUP(Sens_hard_dollar!J1,Tabla1[],3,0)</f>
        <v>82580</v>
      </c>
      <c r="J8" s="17" t="s">
        <v>30</v>
      </c>
      <c r="K8" s="1" t="s">
        <v>30</v>
      </c>
      <c r="L8" s="6">
        <f>VLOOKUP(Sens_hard_dollar!M1,Tabla1[],3,0)</f>
        <v>108800</v>
      </c>
      <c r="M8" s="17" t="s">
        <v>30</v>
      </c>
      <c r="N8" s="1" t="s">
        <v>30</v>
      </c>
      <c r="O8" s="6">
        <f>VLOOKUP(Sens_hard_dollar!P1,Tabla1[],3,0)</f>
        <v>120750</v>
      </c>
      <c r="P8" s="17" t="s">
        <v>30</v>
      </c>
      <c r="Q8" s="1" t="s">
        <v>30</v>
      </c>
    </row>
    <row r="9" spans="1:17" x14ac:dyDescent="0.3">
      <c r="A9" s="15">
        <v>25</v>
      </c>
      <c r="B9" s="10">
        <f t="shared" si="0"/>
        <v>2.5000000000000001E-3</v>
      </c>
      <c r="C9" s="20">
        <f>C$8+D9</f>
        <v>84443.940807637497</v>
      </c>
      <c r="D9" s="21">
        <f>(-$B9*VLOOKUP(Sens_hard_dollar!D$1,Tabla1[],6,0)+0.5*VLOOKUP(Sens_hard_dollar!D$1,Tabla1[],7,0)*$B9*$B9)*Sens_hard_dollar!C$8</f>
        <v>-416.05919236249997</v>
      </c>
      <c r="E9" s="23">
        <f t="shared" si="2"/>
        <v>-4.9028893750000524E-3</v>
      </c>
      <c r="F9" s="20">
        <f>F$8+G9</f>
        <v>114001.0699240125</v>
      </c>
      <c r="G9" s="21">
        <f>(-$B9*VLOOKUP(Sens_hard_dollar!G$1,Tabla1[],6,0)+0.5*VLOOKUP(Sens_hard_dollar!G$1,Tabla1[],7,0)*$B9*$B9)*Sens_hard_dollar!F$8</f>
        <v>-1558.9300759875</v>
      </c>
      <c r="H9" s="23">
        <f t="shared" si="4"/>
        <v>-1.3490222187500067E-2</v>
      </c>
      <c r="I9" s="20">
        <f>I$8+J9</f>
        <v>82266.406579000002</v>
      </c>
      <c r="J9" s="21">
        <f>(-$B9*VLOOKUP(Sens_hard_dollar!J$1,Tabla1[],6,0)+0.5*VLOOKUP(Sens_hard_dollar!J$1,Tabla1[],7,0)*$B9*$B9)*Sens_hard_dollar!I$8</f>
        <v>-313.59342099999998</v>
      </c>
      <c r="K9" s="23">
        <f t="shared" si="6"/>
        <v>-3.79744999999998E-3</v>
      </c>
      <c r="L9" s="20">
        <f>L$8+M9</f>
        <v>107224.81716200001</v>
      </c>
      <c r="M9" s="21">
        <f>(-$B9*VLOOKUP(Sens_hard_dollar!M$1,Tabla1[],6,0)+0.5*VLOOKUP(Sens_hard_dollar!M$1,Tabla1[],7,0)*$B9*$B9)*Sens_hard_dollar!L$8</f>
        <v>-1575.1828380000002</v>
      </c>
      <c r="N9" s="23">
        <f t="shared" si="8"/>
        <v>-1.4477783437499947E-2</v>
      </c>
      <c r="O9" s="20">
        <f>O$8+P9</f>
        <v>119373.90677460938</v>
      </c>
      <c r="P9" s="21">
        <f>(-$B9*VLOOKUP(Sens_hard_dollar!P$1,Tabla1[],6,0)+0.5*VLOOKUP(Sens_hard_dollar!P$1,Tabla1[],7,0)*$B9*$B9)*Sens_hard_dollar!O$8</f>
        <v>-1376.0932253906253</v>
      </c>
      <c r="Q9" s="23">
        <f t="shared" si="10"/>
        <v>-1.1396217187499946E-2</v>
      </c>
    </row>
    <row r="10" spans="1:17" x14ac:dyDescent="0.3">
      <c r="A10" s="16">
        <v>50</v>
      </c>
      <c r="B10" s="10">
        <f t="shared" si="0"/>
        <v>5.0000000000000001E-3</v>
      </c>
      <c r="C10" s="20">
        <f t="shared" ref="C10:C13" si="11">C$8+D10</f>
        <v>84028.876280550001</v>
      </c>
      <c r="D10" s="21">
        <f>(-$B10*VLOOKUP(Sens_hard_dollar!D$1,Tabla1[],6,0)+0.5*VLOOKUP(Sens_hard_dollar!D$1,Tabla1[],7,0)*$B10*$B10)*Sens_hard_dollar!C$8</f>
        <v>-831.12371944999995</v>
      </c>
      <c r="E10" s="23">
        <f t="shared" si="2"/>
        <v>-9.794057499999953E-3</v>
      </c>
      <c r="F10" s="20">
        <f t="shared" ref="F10" si="12">F$8+G10</f>
        <v>112445.84419605001</v>
      </c>
      <c r="G10" s="21">
        <f>(-$B10*VLOOKUP(Sens_hard_dollar!G$1,Tabla1[],6,0)+0.5*VLOOKUP(Sens_hard_dollar!G$1,Tabla1[],7,0)*$B10*$B10)*Sens_hard_dollar!F$8</f>
        <v>-3114.1558039500001</v>
      </c>
      <c r="H10" s="23">
        <f t="shared" si="4"/>
        <v>-2.6948388749999941E-2</v>
      </c>
      <c r="I10" s="20">
        <f t="shared" ref="I10:I13" si="13">I$8+J10</f>
        <v>81953.564635999996</v>
      </c>
      <c r="J10" s="21">
        <f>(-$B10*VLOOKUP(Sens_hard_dollar!J$1,Tabla1[],6,0)+0.5*VLOOKUP(Sens_hard_dollar!J$1,Tabla1[],7,0)*$B10*$B10)*Sens_hard_dollar!I$8</f>
        <v>-626.43536399999994</v>
      </c>
      <c r="K10" s="23">
        <f t="shared" si="6"/>
        <v>-7.5858000000000869E-3</v>
      </c>
      <c r="L10" s="20">
        <f t="shared" ref="L10" si="14">L$8+M10</f>
        <v>105653.38064800001</v>
      </c>
      <c r="M10" s="21">
        <f>(-$B10*VLOOKUP(Sens_hard_dollar!M$1,Tabla1[],6,0)+0.5*VLOOKUP(Sens_hard_dollar!M$1,Tabla1[],7,0)*$B10*$B10)*Sens_hard_dollar!L$8</f>
        <v>-3146.6193520000002</v>
      </c>
      <c r="N10" s="23">
        <f t="shared" si="8"/>
        <v>-2.8921133749999939E-2</v>
      </c>
      <c r="O10" s="20">
        <f t="shared" ref="O10" si="15">O$8+P10</f>
        <v>118001.0817234375</v>
      </c>
      <c r="P10" s="21">
        <f>(-$B10*VLOOKUP(Sens_hard_dollar!P$1,Tabla1[],6,0)+0.5*VLOOKUP(Sens_hard_dollar!P$1,Tabla1[],7,0)*$B10*$B10)*Sens_hard_dollar!O$8</f>
        <v>-2748.9182765625005</v>
      </c>
      <c r="Q10" s="23">
        <f t="shared" si="10"/>
        <v>-2.2765368750000015E-2</v>
      </c>
    </row>
    <row r="11" spans="1:17" x14ac:dyDescent="0.3">
      <c r="A11" s="15">
        <v>100</v>
      </c>
      <c r="B11" s="10">
        <f t="shared" si="0"/>
        <v>0.01</v>
      </c>
      <c r="C11" s="20">
        <f t="shared" si="11"/>
        <v>83201.731222200004</v>
      </c>
      <c r="D11" s="21">
        <f>(-$B11*VLOOKUP(Sens_hard_dollar!D$1,Tabla1[],6,0)+0.5*VLOOKUP(Sens_hard_dollar!D$1,Tabla1[],7,0)*$B11*$B11)*Sens_hard_dollar!C$8</f>
        <v>-1658.2687778</v>
      </c>
      <c r="E11" s="23">
        <f t="shared" si="2"/>
        <v>-1.9541229999999965E-2</v>
      </c>
      <c r="F11" s="20">
        <f t="shared" ref="F11" si="16">F$8+G11</f>
        <v>109346.5057842</v>
      </c>
      <c r="G11" s="21">
        <f>(-$B11*VLOOKUP(Sens_hard_dollar!G$1,Tabla1[],6,0)+0.5*VLOOKUP(Sens_hard_dollar!G$1,Tabla1[],7,0)*$B11*$B11)*Sens_hard_dollar!F$8</f>
        <v>-6213.4942157999994</v>
      </c>
      <c r="H11" s="23">
        <f t="shared" si="4"/>
        <v>-5.3768554999999996E-2</v>
      </c>
      <c r="I11" s="20">
        <f t="shared" si="13"/>
        <v>81330.135183999999</v>
      </c>
      <c r="J11" s="21">
        <f>(-$B11*VLOOKUP(Sens_hard_dollar!J$1,Tabla1[],6,0)+0.5*VLOOKUP(Sens_hard_dollar!J$1,Tabla1[],7,0)*$B11*$B11)*Sens_hard_dollar!I$8</f>
        <v>-1249.864816</v>
      </c>
      <c r="K11" s="23">
        <f t="shared" si="6"/>
        <v>-1.5135200000000015E-2</v>
      </c>
      <c r="L11" s="20">
        <f t="shared" ref="L11" si="17">L$8+M11</f>
        <v>102521.746592</v>
      </c>
      <c r="M11" s="21">
        <f>(-$B11*VLOOKUP(Sens_hard_dollar!M$1,Tabla1[],6,0)+0.5*VLOOKUP(Sens_hard_dollar!M$1,Tabla1[],7,0)*$B11*$B11)*Sens_hard_dollar!L$8</f>
        <v>-6278.2534080000005</v>
      </c>
      <c r="N11" s="23">
        <f t="shared" si="8"/>
        <v>-5.7704535000000057E-2</v>
      </c>
      <c r="O11" s="20">
        <f t="shared" ref="O11" si="18">O$8+P11</f>
        <v>115265.23614374999</v>
      </c>
      <c r="P11" s="21">
        <f>(-$B11*VLOOKUP(Sens_hard_dollar!P$1,Tabla1[],6,0)+0.5*VLOOKUP(Sens_hard_dollar!P$1,Tabla1[],7,0)*$B11*$B11)*Sens_hard_dollar!O$8</f>
        <v>-5484.7638562500006</v>
      </c>
      <c r="Q11" s="23">
        <f t="shared" si="10"/>
        <v>-4.5422475000000073E-2</v>
      </c>
    </row>
    <row r="12" spans="1:17" x14ac:dyDescent="0.3">
      <c r="A12" s="16">
        <v>200</v>
      </c>
      <c r="B12" s="10">
        <f t="shared" si="0"/>
        <v>0.02</v>
      </c>
      <c r="C12" s="20">
        <f t="shared" si="11"/>
        <v>81559.3770888</v>
      </c>
      <c r="D12" s="21">
        <f>(-$B12*VLOOKUP(Sens_hard_dollar!D$1,Tabla1[],6,0)+0.5*VLOOKUP(Sens_hard_dollar!D$1,Tabla1[],7,0)*$B12*$B12)*Sens_hard_dollar!C$8</f>
        <v>-3300.6229112000001</v>
      </c>
      <c r="E12" s="23">
        <f t="shared" si="2"/>
        <v>-3.8894920000000055E-2</v>
      </c>
      <c r="F12" s="20">
        <f t="shared" ref="F12" si="19">F$8+G12</f>
        <v>103192.2811368</v>
      </c>
      <c r="G12" s="21">
        <f>(-$B12*VLOOKUP(Sens_hard_dollar!G$1,Tabla1[],6,0)+0.5*VLOOKUP(Sens_hard_dollar!G$1,Tabla1[],7,0)*$B12*$B12)*Sens_hard_dollar!F$8</f>
        <v>-12367.718863199998</v>
      </c>
      <c r="H12" s="23">
        <f t="shared" si="4"/>
        <v>-0.10702422</v>
      </c>
      <c r="I12" s="20">
        <f t="shared" si="13"/>
        <v>80092.294016</v>
      </c>
      <c r="J12" s="21">
        <f>(-$B12*VLOOKUP(Sens_hard_dollar!J$1,Tabla1[],6,0)+0.5*VLOOKUP(Sens_hard_dollar!J$1,Tabla1[],7,0)*$B12*$B12)*Sens_hard_dollar!I$8</f>
        <v>-2487.7059840000002</v>
      </c>
      <c r="K12" s="23">
        <f t="shared" si="6"/>
        <v>-3.0124799999999952E-2</v>
      </c>
      <c r="L12" s="20">
        <f t="shared" ref="L12" si="20">L$8+M12</f>
        <v>96303.434368000002</v>
      </c>
      <c r="M12" s="21">
        <f>(-$B12*VLOOKUP(Sens_hard_dollar!M$1,Tabla1[],6,0)+0.5*VLOOKUP(Sens_hard_dollar!M$1,Tabla1[],7,0)*$B12*$B12)*Sens_hard_dollar!L$8</f>
        <v>-12496.565632000002</v>
      </c>
      <c r="N12" s="23">
        <f t="shared" si="8"/>
        <v>-0.11485813999999994</v>
      </c>
      <c r="O12" s="20">
        <f t="shared" ref="O12" si="21">O$8+P12</f>
        <v>109832.763075</v>
      </c>
      <c r="P12" s="21">
        <f>(-$B12*VLOOKUP(Sens_hard_dollar!P$1,Tabla1[],6,0)+0.5*VLOOKUP(Sens_hard_dollar!P$1,Tabla1[],7,0)*$B12*$B12)*Sens_hard_dollar!O$8</f>
        <v>-10917.236925000003</v>
      </c>
      <c r="Q12" s="23">
        <f t="shared" si="10"/>
        <v>-9.0411899999999989E-2</v>
      </c>
    </row>
    <row r="13" spans="1:17" x14ac:dyDescent="0.3">
      <c r="A13" s="15">
        <v>300</v>
      </c>
      <c r="B13" s="10">
        <f t="shared" si="0"/>
        <v>0.03</v>
      </c>
      <c r="C13" s="20">
        <f t="shared" si="11"/>
        <v>79932.937599800003</v>
      </c>
      <c r="D13" s="21">
        <f>(-$B13*VLOOKUP(Sens_hard_dollar!D$1,Tabla1[],6,0)+0.5*VLOOKUP(Sens_hard_dollar!D$1,Tabla1[],7,0)*$B13*$B13)*Sens_hard_dollar!C$8</f>
        <v>-4927.0624001999995</v>
      </c>
      <c r="E13" s="23">
        <f t="shared" si="2"/>
        <v>-5.8061069999999937E-2</v>
      </c>
      <c r="F13" s="20">
        <f t="shared" ref="F13" si="22">F$8+G13</f>
        <v>97097.326057800004</v>
      </c>
      <c r="G13" s="21">
        <f>(-$B13*VLOOKUP(Sens_hard_dollar!G$1,Tabla1[],6,0)+0.5*VLOOKUP(Sens_hard_dollar!G$1,Tabla1[],7,0)*$B13*$B13)*Sens_hard_dollar!F$8</f>
        <v>-18462.673942199999</v>
      </c>
      <c r="H13" s="23">
        <f t="shared" si="4"/>
        <v>-0.15976699499999991</v>
      </c>
      <c r="I13" s="20">
        <f t="shared" si="13"/>
        <v>78866.476496000003</v>
      </c>
      <c r="J13" s="21">
        <f>(-$B13*VLOOKUP(Sens_hard_dollar!J$1,Tabla1[],6,0)+0.5*VLOOKUP(Sens_hard_dollar!J$1,Tabla1[],7,0)*$B13*$B13)*Sens_hard_dollar!I$8</f>
        <v>-3713.5235039999998</v>
      </c>
      <c r="K13" s="23">
        <f t="shared" si="6"/>
        <v>-4.496879999999992E-2</v>
      </c>
      <c r="L13" s="20">
        <f t="shared" ref="L13" si="23">L$8+M13</f>
        <v>90145.063328000004</v>
      </c>
      <c r="M13" s="21">
        <f>(-$B13*VLOOKUP(Sens_hard_dollar!M$1,Tabla1[],6,0)+0.5*VLOOKUP(Sens_hard_dollar!M$1,Tabla1[],7,0)*$B13*$B13)*Sens_hard_dollar!L$8</f>
        <v>-18654.936672</v>
      </c>
      <c r="N13" s="23">
        <f t="shared" si="8"/>
        <v>-0.17146081499999999</v>
      </c>
      <c r="O13" s="20">
        <f t="shared" ref="O13" si="24">O$8+P13</f>
        <v>104452.58079375001</v>
      </c>
      <c r="P13" s="21">
        <f>(-$B13*VLOOKUP(Sens_hard_dollar!P$1,Tabla1[],6,0)+0.5*VLOOKUP(Sens_hard_dollar!P$1,Tabla1[],7,0)*$B13*$B13)*Sens_hard_dollar!O$8</f>
        <v>-16297.419206250001</v>
      </c>
      <c r="Q13" s="23">
        <f t="shared" si="10"/>
        <v>-0.13496827499999997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O3" sqref="O3:Q13"/>
    </sheetView>
  </sheetViews>
  <sheetFormatPr baseColWidth="10" defaultRowHeight="14.4" x14ac:dyDescent="0.3"/>
  <cols>
    <col min="1" max="1" width="10.88671875" bestFit="1" customWidth="1"/>
    <col min="2" max="2" width="11.21875" bestFit="1" customWidth="1"/>
    <col min="3" max="3" width="9.5546875" bestFit="1" customWidth="1"/>
    <col min="4" max="4" width="14" bestFit="1" customWidth="1"/>
    <col min="5" max="5" width="12.109375" bestFit="1" customWidth="1"/>
    <col min="6" max="6" width="9.5546875" bestFit="1" customWidth="1"/>
    <col min="7" max="7" width="14" bestFit="1" customWidth="1"/>
    <col min="8" max="8" width="12.109375" bestFit="1" customWidth="1"/>
    <col min="9" max="9" width="9.5546875" bestFit="1" customWidth="1"/>
    <col min="10" max="10" width="14" bestFit="1" customWidth="1"/>
    <col min="11" max="11" width="12.109375" bestFit="1" customWidth="1"/>
    <col min="12" max="12" width="9.5546875" bestFit="1" customWidth="1"/>
    <col min="13" max="13" width="14" bestFit="1" customWidth="1"/>
    <col min="14" max="14" width="12.109375" bestFit="1" customWidth="1"/>
    <col min="15" max="15" width="9.5546875" bestFit="1" customWidth="1"/>
    <col min="16" max="16" width="14" bestFit="1" customWidth="1"/>
    <col min="17" max="17" width="12.109375" bestFit="1" customWidth="1"/>
  </cols>
  <sheetData>
    <row r="1" spans="1:17" x14ac:dyDescent="0.3">
      <c r="A1" s="11"/>
      <c r="B1" s="11"/>
      <c r="C1" s="8"/>
      <c r="D1" s="12" t="s">
        <v>14</v>
      </c>
      <c r="E1" s="12"/>
      <c r="F1" s="8"/>
      <c r="G1" s="12" t="s">
        <v>16</v>
      </c>
      <c r="H1" s="12"/>
      <c r="I1" s="8"/>
      <c r="J1" s="8" t="s">
        <v>17</v>
      </c>
      <c r="K1" s="12"/>
      <c r="L1" s="8"/>
      <c r="M1" s="8" t="s">
        <v>18</v>
      </c>
      <c r="N1" s="12"/>
      <c r="O1" s="8"/>
      <c r="P1" s="8" t="s">
        <v>19</v>
      </c>
      <c r="Q1" s="12"/>
    </row>
    <row r="2" spans="1:17" x14ac:dyDescent="0.3">
      <c r="A2" s="13" t="s">
        <v>29</v>
      </c>
      <c r="B2" s="14" t="s">
        <v>40</v>
      </c>
      <c r="C2" s="9" t="s">
        <v>31</v>
      </c>
      <c r="D2" s="14" t="s">
        <v>33</v>
      </c>
      <c r="E2" s="14" t="s">
        <v>32</v>
      </c>
      <c r="F2" s="9" t="s">
        <v>31</v>
      </c>
      <c r="G2" s="14" t="s">
        <v>33</v>
      </c>
      <c r="H2" s="14" t="s">
        <v>32</v>
      </c>
      <c r="I2" s="9" t="s">
        <v>31</v>
      </c>
      <c r="J2" s="9" t="s">
        <v>33</v>
      </c>
      <c r="K2" s="14" t="s">
        <v>32</v>
      </c>
      <c r="L2" s="9" t="s">
        <v>31</v>
      </c>
      <c r="M2" s="9" t="s">
        <v>33</v>
      </c>
      <c r="N2" s="14" t="s">
        <v>32</v>
      </c>
      <c r="O2" s="9" t="s">
        <v>31</v>
      </c>
      <c r="P2" s="9" t="s">
        <v>33</v>
      </c>
      <c r="Q2" s="14" t="s">
        <v>32</v>
      </c>
    </row>
    <row r="3" spans="1:17" x14ac:dyDescent="0.3">
      <c r="A3" s="15">
        <v>-300</v>
      </c>
      <c r="B3" s="10">
        <f>A3/10000</f>
        <v>-0.03</v>
      </c>
      <c r="C3" s="19">
        <f>C$8+D3</f>
        <v>89930.294199800002</v>
      </c>
      <c r="D3" s="18">
        <f>(-$B3*VLOOKUP(Sens_hard_dollar!D$1,Tabla1[],6,0)+0.5*VLOOKUP(Sens_hard_dollar!D$1,Tabla1[],7,0)*$B3*$B3)*Sens_hard_dollar!C$8</f>
        <v>5070.2941997999997</v>
      </c>
      <c r="E3" s="22">
        <f>(C3/C$8-1)</f>
        <v>5.9748930000000033E-2</v>
      </c>
      <c r="F3" s="19">
        <f>F$8+G3</f>
        <v>134556.10005780001</v>
      </c>
      <c r="G3" s="18">
        <f>(-$B3*VLOOKUP(Sens_hard_dollar!G$1,Tabla1[],6,0)+0.5*VLOOKUP(Sens_hard_dollar!G$1,Tabla1[],7,0)*$B3*$B3)*Sens_hard_dollar!F$8</f>
        <v>18996.100057799998</v>
      </c>
      <c r="H3" s="22">
        <f>(F3/F$8-1)</f>
        <v>0.16438300500000014</v>
      </c>
      <c r="I3" s="19">
        <f>I$8+J3</f>
        <v>86401.736336000002</v>
      </c>
      <c r="J3" s="18">
        <f>(-$B3*VLOOKUP(Sens_hard_dollar!J$1,Tabla1[],6,0)+0.5*VLOOKUP(Sens_hard_dollar!J$1,Tabla1[],7,0)*$B3*$B3)*Sens_hard_dollar!I$8</f>
        <v>3821.7363359999999</v>
      </c>
      <c r="K3" s="22">
        <f>(I3/I$8-1)</f>
        <v>4.6279200000000076E-2</v>
      </c>
      <c r="L3" s="19">
        <f>L$8+M3</f>
        <v>127994.407328</v>
      </c>
      <c r="M3" s="18">
        <f>(-$B3*VLOOKUP(Sens_hard_dollar!M$1,Tabla1[],6,0)+0.5*VLOOKUP(Sens_hard_dollar!M$1,Tabla1[],7,0)*$B3*$B3)*Sens_hard_dollar!L$8</f>
        <v>19194.407327999998</v>
      </c>
      <c r="N3" s="22">
        <f>(L3/L$8-1)</f>
        <v>0.17641918500000009</v>
      </c>
      <c r="O3" s="19">
        <f>O$8+P3</f>
        <v>137518.03629374999</v>
      </c>
      <c r="P3" s="18">
        <f>(-$B3*VLOOKUP(Sens_hard_dollar!P$1,Tabla1[],6,0)+0.5*VLOOKUP(Sens_hard_dollar!P$1,Tabla1[],7,0)*$B3*$B3)*Sens_hard_dollar!O$8</f>
        <v>16768.036293750003</v>
      </c>
      <c r="Q3" s="22">
        <f>(O3/O$8-1)</f>
        <v>0.13886572499999983</v>
      </c>
    </row>
    <row r="4" spans="1:17" x14ac:dyDescent="0.3">
      <c r="A4" s="16">
        <v>-200</v>
      </c>
      <c r="B4" s="10">
        <f t="shared" ref="B4:B13" si="0">A4/10000</f>
        <v>-0.02</v>
      </c>
      <c r="C4" s="19">
        <f t="shared" ref="C4:C6" si="1">C$8+D4</f>
        <v>88224.281488799999</v>
      </c>
      <c r="D4" s="18">
        <f>(-$B4*VLOOKUP(Sens_hard_dollar!D$1,Tabla1[],6,0)+0.5*VLOOKUP(Sens_hard_dollar!D$1,Tabla1[],7,0)*$B4*$B4)*Sens_hard_dollar!C$8</f>
        <v>3364.2814887999998</v>
      </c>
      <c r="E4" s="22">
        <f t="shared" ref="E4:E13" si="2">(C4/C$8-1)</f>
        <v>3.9645079999999888E-2</v>
      </c>
      <c r="F4" s="19">
        <f t="shared" ref="F4:F6" si="3">F$8+G4</f>
        <v>128164.7971368</v>
      </c>
      <c r="G4" s="18">
        <f>(-$B4*VLOOKUP(Sens_hard_dollar!G$1,Tabla1[],6,0)+0.5*VLOOKUP(Sens_hard_dollar!G$1,Tabla1[],7,0)*$B4*$B4)*Sens_hard_dollar!F$8</f>
        <v>12604.7971368</v>
      </c>
      <c r="H4" s="22">
        <f t="shared" ref="H4:H13" si="4">(F4/F$8-1)</f>
        <v>0.10907577999999996</v>
      </c>
      <c r="I4" s="19">
        <f t="shared" ref="I4:I6" si="5">I$8+J4</f>
        <v>85115.800575999994</v>
      </c>
      <c r="J4" s="18">
        <f>(-$B4*VLOOKUP(Sens_hard_dollar!J$1,Tabla1[],6,0)+0.5*VLOOKUP(Sens_hard_dollar!J$1,Tabla1[],7,0)*$B4*$B4)*Sens_hard_dollar!I$8</f>
        <v>2535.8005759999996</v>
      </c>
      <c r="K4" s="22">
        <f t="shared" ref="K4:K13" si="6">(I4/I$8-1)</f>
        <v>3.0707199999999935E-2</v>
      </c>
      <c r="L4" s="19">
        <f t="shared" ref="L4:L6" si="7">L$8+M4</f>
        <v>121536.330368</v>
      </c>
      <c r="M4" s="18">
        <f>(-$B4*VLOOKUP(Sens_hard_dollar!M$1,Tabla1[],6,0)+0.5*VLOOKUP(Sens_hard_dollar!M$1,Tabla1[],7,0)*$B4*$B4)*Sens_hard_dollar!L$8</f>
        <v>12736.330368000001</v>
      </c>
      <c r="N4" s="22">
        <f t="shared" ref="N4:N13" si="8">(L4/L$8-1)</f>
        <v>0.11706185999999996</v>
      </c>
      <c r="O4" s="19">
        <f t="shared" ref="O4:O6" si="9">O$8+P4</f>
        <v>131876.40007500001</v>
      </c>
      <c r="P4" s="18">
        <f>(-$B4*VLOOKUP(Sens_hard_dollar!P$1,Tabla1[],6,0)+0.5*VLOOKUP(Sens_hard_dollar!P$1,Tabla1[],7,0)*$B4*$B4)*Sens_hard_dollar!O$8</f>
        <v>11126.400075000001</v>
      </c>
      <c r="Q4" s="22">
        <f t="shared" ref="Q4:Q13" si="10">(O4/O$8-1)</f>
        <v>9.2144100000000062E-2</v>
      </c>
    </row>
    <row r="5" spans="1:17" x14ac:dyDescent="0.3">
      <c r="A5" s="15">
        <v>-100</v>
      </c>
      <c r="B5" s="10">
        <f t="shared" si="0"/>
        <v>-0.01</v>
      </c>
      <c r="C5" s="19">
        <f t="shared" si="1"/>
        <v>86534.183422200003</v>
      </c>
      <c r="D5" s="18">
        <f>(-$B5*VLOOKUP(Sens_hard_dollar!D$1,Tabla1[],6,0)+0.5*VLOOKUP(Sens_hard_dollar!D$1,Tabla1[],7,0)*$B5*$B5)*Sens_hard_dollar!C$8</f>
        <v>1674.1834222</v>
      </c>
      <c r="E5" s="22">
        <f t="shared" si="2"/>
        <v>1.9728769999999951E-2</v>
      </c>
      <c r="F5" s="19">
        <f t="shared" si="3"/>
        <v>121832.7637842</v>
      </c>
      <c r="G5" s="18">
        <f>(-$B5*VLOOKUP(Sens_hard_dollar!G$1,Tabla1[],6,0)+0.5*VLOOKUP(Sens_hard_dollar!G$1,Tabla1[],7,0)*$B5*$B5)*Sens_hard_dollar!F$8</f>
        <v>6272.7637841999995</v>
      </c>
      <c r="H5" s="22">
        <f t="shared" si="4"/>
        <v>5.4281444999999984E-2</v>
      </c>
      <c r="I5" s="19">
        <f t="shared" si="5"/>
        <v>83841.888464000003</v>
      </c>
      <c r="J5" s="18">
        <f>(-$B5*VLOOKUP(Sens_hard_dollar!J$1,Tabla1[],6,0)+0.5*VLOOKUP(Sens_hard_dollar!J$1,Tabla1[],7,0)*$B5*$B5)*Sens_hard_dollar!I$8</f>
        <v>1261.8884639999999</v>
      </c>
      <c r="K5" s="22">
        <f t="shared" si="6"/>
        <v>1.5280799999999983E-2</v>
      </c>
      <c r="L5" s="19">
        <f t="shared" si="7"/>
        <v>115138.194592</v>
      </c>
      <c r="M5" s="18">
        <f>(-$B5*VLOOKUP(Sens_hard_dollar!M$1,Tabla1[],6,0)+0.5*VLOOKUP(Sens_hard_dollar!M$1,Tabla1[],7,0)*$B5*$B5)*Sens_hard_dollar!L$8</f>
        <v>6338.1945920000007</v>
      </c>
      <c r="N5" s="22">
        <f t="shared" si="8"/>
        <v>5.8255465000000006E-2</v>
      </c>
      <c r="O5" s="19">
        <f t="shared" si="9"/>
        <v>126287.05464375</v>
      </c>
      <c r="P5" s="18">
        <f>(-$B5*VLOOKUP(Sens_hard_dollar!P$1,Tabla1[],6,0)+0.5*VLOOKUP(Sens_hard_dollar!P$1,Tabla1[],7,0)*$B5*$B5)*Sens_hard_dollar!O$8</f>
        <v>5537.0546437500007</v>
      </c>
      <c r="Q5" s="22">
        <f t="shared" si="10"/>
        <v>4.5855525000000119E-2</v>
      </c>
    </row>
    <row r="6" spans="1:17" x14ac:dyDescent="0.3">
      <c r="A6" s="16">
        <v>-50</v>
      </c>
      <c r="B6" s="10">
        <f t="shared" si="0"/>
        <v>-5.0000000000000001E-3</v>
      </c>
      <c r="C6" s="19">
        <f t="shared" si="1"/>
        <v>85695.102380550001</v>
      </c>
      <c r="D6" s="18">
        <f>(-$B6*VLOOKUP(Sens_hard_dollar!D$1,Tabla1[],6,0)+0.5*VLOOKUP(Sens_hard_dollar!D$1,Tabla1[],7,0)*$B6*$B6)*Sens_hard_dollar!C$8</f>
        <v>835.10238055000002</v>
      </c>
      <c r="E6" s="22">
        <f t="shared" si="2"/>
        <v>9.8409425000001161E-3</v>
      </c>
      <c r="F6" s="19">
        <f t="shared" si="3"/>
        <v>118688.97319605001</v>
      </c>
      <c r="G6" s="18">
        <f>(-$B6*VLOOKUP(Sens_hard_dollar!G$1,Tabla1[],6,0)+0.5*VLOOKUP(Sens_hard_dollar!G$1,Tabla1[],7,0)*$B6*$B6)*Sens_hard_dollar!F$8</f>
        <v>3128.9731960499998</v>
      </c>
      <c r="H6" s="22">
        <f t="shared" si="4"/>
        <v>2.7076611250000049E-2</v>
      </c>
      <c r="I6" s="19">
        <f t="shared" si="5"/>
        <v>83209.441275999998</v>
      </c>
      <c r="J6" s="18">
        <f>(-$B6*VLOOKUP(Sens_hard_dollar!J$1,Tabla1[],6,0)+0.5*VLOOKUP(Sens_hard_dollar!J$1,Tabla1[],7,0)*$B6*$B6)*Sens_hard_dollar!I$8</f>
        <v>629.44127600000002</v>
      </c>
      <c r="K6" s="22">
        <f t="shared" si="6"/>
        <v>7.6221999999999124E-3</v>
      </c>
      <c r="L6" s="19">
        <f t="shared" si="7"/>
        <v>111961.60464800001</v>
      </c>
      <c r="M6" s="18">
        <f>(-$B6*VLOOKUP(Sens_hard_dollar!M$1,Tabla1[],6,0)+0.5*VLOOKUP(Sens_hard_dollar!M$1,Tabla1[],7,0)*$B6*$B6)*Sens_hard_dollar!L$8</f>
        <v>3161.6046480000005</v>
      </c>
      <c r="N6" s="22">
        <f t="shared" si="8"/>
        <v>2.9058866249999982E-2</v>
      </c>
      <c r="O6" s="19">
        <f t="shared" si="9"/>
        <v>123511.9909734375</v>
      </c>
      <c r="P6" s="18">
        <f>(-$B6*VLOOKUP(Sens_hard_dollar!P$1,Tabla1[],6,0)+0.5*VLOOKUP(Sens_hard_dollar!P$1,Tabla1[],7,0)*$B6*$B6)*Sens_hard_dollar!O$8</f>
        <v>2761.9909734375001</v>
      </c>
      <c r="Q6" s="22">
        <f t="shared" si="10"/>
        <v>2.2873631249999971E-2</v>
      </c>
    </row>
    <row r="7" spans="1:17" x14ac:dyDescent="0.3">
      <c r="A7" s="15">
        <v>-25</v>
      </c>
      <c r="B7" s="10">
        <f t="shared" si="0"/>
        <v>-2.5000000000000001E-3</v>
      </c>
      <c r="C7" s="19">
        <f>C$8+D7</f>
        <v>85277.053857637497</v>
      </c>
      <c r="D7" s="18">
        <f>(-$B7*VLOOKUP(Sens_hard_dollar!D$1,Tabla1[],6,0)+0.5*VLOOKUP(Sens_hard_dollar!D$1,Tabla1[],7,0)*$B7*$B7)*Sens_hard_dollar!C$8</f>
        <v>417.05385763750002</v>
      </c>
      <c r="E7" s="22">
        <f t="shared" si="2"/>
        <v>4.9146106249999821E-3</v>
      </c>
      <c r="F7" s="19">
        <f>F$8+G7</f>
        <v>117122.6344240125</v>
      </c>
      <c r="G7" s="18">
        <f>(-$B7*VLOOKUP(Sens_hard_dollar!G$1,Tabla1[],6,0)+0.5*VLOOKUP(Sens_hard_dollar!G$1,Tabla1[],7,0)*$B7*$B7)*Sens_hard_dollar!F$8</f>
        <v>1562.6344240124999</v>
      </c>
      <c r="H7" s="22">
        <f t="shared" si="4"/>
        <v>1.3522277812499928E-2</v>
      </c>
      <c r="I7" s="19">
        <f>I$8+J7</f>
        <v>82894.344899000003</v>
      </c>
      <c r="J7" s="18">
        <f>(-$B7*VLOOKUP(Sens_hard_dollar!J$1,Tabla1[],6,0)+0.5*VLOOKUP(Sens_hard_dollar!J$1,Tabla1[],7,0)*$B7*$B7)*Sens_hard_dollar!I$8</f>
        <v>314.344899</v>
      </c>
      <c r="K7" s="22">
        <f t="shared" si="6"/>
        <v>3.8065499999999641E-3</v>
      </c>
      <c r="L7" s="19">
        <f>L$8+M7</f>
        <v>110378.929162</v>
      </c>
      <c r="M7" s="18">
        <f>(-$B7*VLOOKUP(Sens_hard_dollar!M$1,Tabla1[],6,0)+0.5*VLOOKUP(Sens_hard_dollar!M$1,Tabla1[],7,0)*$B7*$B7)*Sens_hard_dollar!L$8</f>
        <v>1578.9291620000001</v>
      </c>
      <c r="N7" s="22">
        <f t="shared" si="8"/>
        <v>1.4512216562500013E-2</v>
      </c>
      <c r="O7" s="19">
        <f>O$8+P7</f>
        <v>122129.36139960938</v>
      </c>
      <c r="P7" s="18">
        <f>(-$B7*VLOOKUP(Sens_hard_dollar!P$1,Tabla1[],6,0)+0.5*VLOOKUP(Sens_hard_dollar!P$1,Tabla1[],7,0)*$B7*$B7)*Sens_hard_dollar!O$8</f>
        <v>1379.3613996093752</v>
      </c>
      <c r="Q7" s="22">
        <f t="shared" si="10"/>
        <v>1.1423282812500046E-2</v>
      </c>
    </row>
    <row r="8" spans="1:17" x14ac:dyDescent="0.3">
      <c r="A8" s="16" t="s">
        <v>30</v>
      </c>
      <c r="B8" s="10">
        <v>0</v>
      </c>
      <c r="C8" s="6">
        <f>VLOOKUP(Sens_hard_dollar!D1,Tabla1[],3,0)</f>
        <v>84860</v>
      </c>
      <c r="D8" s="17" t="s">
        <v>30</v>
      </c>
      <c r="E8" s="1" t="s">
        <v>30</v>
      </c>
      <c r="F8" s="6">
        <f>VLOOKUP(Sens_hard_dollar!G1,Tabla1[],3,0)</f>
        <v>115560</v>
      </c>
      <c r="G8" s="17" t="s">
        <v>30</v>
      </c>
      <c r="H8" s="1" t="s">
        <v>30</v>
      </c>
      <c r="I8" s="6">
        <f>VLOOKUP(Sens_hard_dollar!J1,Tabla1[],3,0)</f>
        <v>82580</v>
      </c>
      <c r="J8" s="17" t="s">
        <v>30</v>
      </c>
      <c r="K8" s="1" t="s">
        <v>30</v>
      </c>
      <c r="L8" s="6">
        <f>VLOOKUP(Sens_hard_dollar!M1,Tabla1[],3,0)</f>
        <v>108800</v>
      </c>
      <c r="M8" s="17" t="s">
        <v>30</v>
      </c>
      <c r="N8" s="1" t="s">
        <v>30</v>
      </c>
      <c r="O8" s="6">
        <f>VLOOKUP(Sens_hard_dollar!P1,Tabla1[],3,0)</f>
        <v>120750</v>
      </c>
      <c r="P8" s="17" t="s">
        <v>30</v>
      </c>
      <c r="Q8" s="1" t="s">
        <v>30</v>
      </c>
    </row>
    <row r="9" spans="1:17" x14ac:dyDescent="0.3">
      <c r="A9" s="15">
        <v>25</v>
      </c>
      <c r="B9" s="10">
        <f t="shared" si="0"/>
        <v>2.5000000000000001E-3</v>
      </c>
      <c r="C9" s="20">
        <f>C$8+D9</f>
        <v>84443.940807637497</v>
      </c>
      <c r="D9" s="21">
        <f>(-$B9*VLOOKUP(Sens_hard_dollar!D$1,Tabla1[],6,0)+0.5*VLOOKUP(Sens_hard_dollar!D$1,Tabla1[],7,0)*$B9*$B9)*Sens_hard_dollar!C$8</f>
        <v>-416.05919236249997</v>
      </c>
      <c r="E9" s="23">
        <f t="shared" si="2"/>
        <v>-4.9028893750000524E-3</v>
      </c>
      <c r="F9" s="20">
        <f>F$8+G9</f>
        <v>114001.0699240125</v>
      </c>
      <c r="G9" s="21">
        <f>(-$B9*VLOOKUP(Sens_hard_dollar!G$1,Tabla1[],6,0)+0.5*VLOOKUP(Sens_hard_dollar!G$1,Tabla1[],7,0)*$B9*$B9)*Sens_hard_dollar!F$8</f>
        <v>-1558.9300759875</v>
      </c>
      <c r="H9" s="23">
        <f t="shared" si="4"/>
        <v>-1.3490222187500067E-2</v>
      </c>
      <c r="I9" s="20">
        <f>I$8+J9</f>
        <v>82266.406579000002</v>
      </c>
      <c r="J9" s="21">
        <f>(-$B9*VLOOKUP(Sens_hard_dollar!J$1,Tabla1[],6,0)+0.5*VLOOKUP(Sens_hard_dollar!J$1,Tabla1[],7,0)*$B9*$B9)*Sens_hard_dollar!I$8</f>
        <v>-313.59342099999998</v>
      </c>
      <c r="K9" s="23">
        <f t="shared" si="6"/>
        <v>-3.79744999999998E-3</v>
      </c>
      <c r="L9" s="20">
        <f>L$8+M9</f>
        <v>107224.81716200001</v>
      </c>
      <c r="M9" s="21">
        <f>(-$B9*VLOOKUP(Sens_hard_dollar!M$1,Tabla1[],6,0)+0.5*VLOOKUP(Sens_hard_dollar!M$1,Tabla1[],7,0)*$B9*$B9)*Sens_hard_dollar!L$8</f>
        <v>-1575.1828380000002</v>
      </c>
      <c r="N9" s="23">
        <f t="shared" si="8"/>
        <v>-1.4477783437499947E-2</v>
      </c>
      <c r="O9" s="20">
        <f>O$8+P9</f>
        <v>119373.90677460938</v>
      </c>
      <c r="P9" s="21">
        <f>(-$B9*VLOOKUP(Sens_hard_dollar!P$1,Tabla1[],6,0)+0.5*VLOOKUP(Sens_hard_dollar!P$1,Tabla1[],7,0)*$B9*$B9)*Sens_hard_dollar!O$8</f>
        <v>-1376.0932253906253</v>
      </c>
      <c r="Q9" s="23">
        <f t="shared" si="10"/>
        <v>-1.1396217187499946E-2</v>
      </c>
    </row>
    <row r="10" spans="1:17" x14ac:dyDescent="0.3">
      <c r="A10" s="16">
        <v>50</v>
      </c>
      <c r="B10" s="10">
        <f t="shared" si="0"/>
        <v>5.0000000000000001E-3</v>
      </c>
      <c r="C10" s="20">
        <f t="shared" ref="C10:C13" si="11">C$8+D10</f>
        <v>84028.876280550001</v>
      </c>
      <c r="D10" s="21">
        <f>(-$B10*VLOOKUP(Sens_hard_dollar!D$1,Tabla1[],6,0)+0.5*VLOOKUP(Sens_hard_dollar!D$1,Tabla1[],7,0)*$B10*$B10)*Sens_hard_dollar!C$8</f>
        <v>-831.12371944999995</v>
      </c>
      <c r="E10" s="23">
        <f t="shared" si="2"/>
        <v>-9.794057499999953E-3</v>
      </c>
      <c r="F10" s="20">
        <f t="shared" ref="F10:F13" si="12">F$8+G10</f>
        <v>112445.84419605001</v>
      </c>
      <c r="G10" s="21">
        <f>(-$B10*VLOOKUP(Sens_hard_dollar!G$1,Tabla1[],6,0)+0.5*VLOOKUP(Sens_hard_dollar!G$1,Tabla1[],7,0)*$B10*$B10)*Sens_hard_dollar!F$8</f>
        <v>-3114.1558039500001</v>
      </c>
      <c r="H10" s="23">
        <f t="shared" si="4"/>
        <v>-2.6948388749999941E-2</v>
      </c>
      <c r="I10" s="20">
        <f t="shared" ref="I10:I13" si="13">I$8+J10</f>
        <v>81953.564635999996</v>
      </c>
      <c r="J10" s="21">
        <f>(-$B10*VLOOKUP(Sens_hard_dollar!J$1,Tabla1[],6,0)+0.5*VLOOKUP(Sens_hard_dollar!J$1,Tabla1[],7,0)*$B10*$B10)*Sens_hard_dollar!I$8</f>
        <v>-626.43536399999994</v>
      </c>
      <c r="K10" s="23">
        <f t="shared" si="6"/>
        <v>-7.5858000000000869E-3</v>
      </c>
      <c r="L10" s="20">
        <f t="shared" ref="L10:L13" si="14">L$8+M10</f>
        <v>105653.38064800001</v>
      </c>
      <c r="M10" s="21">
        <f>(-$B10*VLOOKUP(Sens_hard_dollar!M$1,Tabla1[],6,0)+0.5*VLOOKUP(Sens_hard_dollar!M$1,Tabla1[],7,0)*$B10*$B10)*Sens_hard_dollar!L$8</f>
        <v>-3146.6193520000002</v>
      </c>
      <c r="N10" s="23">
        <f t="shared" si="8"/>
        <v>-2.8921133749999939E-2</v>
      </c>
      <c r="O10" s="20">
        <f t="shared" ref="O10:O13" si="15">O$8+P10</f>
        <v>118001.0817234375</v>
      </c>
      <c r="P10" s="21">
        <f>(-$B10*VLOOKUP(Sens_hard_dollar!P$1,Tabla1[],6,0)+0.5*VLOOKUP(Sens_hard_dollar!P$1,Tabla1[],7,0)*$B10*$B10)*Sens_hard_dollar!O$8</f>
        <v>-2748.9182765625005</v>
      </c>
      <c r="Q10" s="23">
        <f t="shared" si="10"/>
        <v>-2.2765368750000015E-2</v>
      </c>
    </row>
    <row r="11" spans="1:17" x14ac:dyDescent="0.3">
      <c r="A11" s="15">
        <v>100</v>
      </c>
      <c r="B11" s="10">
        <f t="shared" si="0"/>
        <v>0.01</v>
      </c>
      <c r="C11" s="20">
        <f t="shared" si="11"/>
        <v>83201.731222200004</v>
      </c>
      <c r="D11" s="21">
        <f>(-$B11*VLOOKUP(Sens_hard_dollar!D$1,Tabla1[],6,0)+0.5*VLOOKUP(Sens_hard_dollar!D$1,Tabla1[],7,0)*$B11*$B11)*Sens_hard_dollar!C$8</f>
        <v>-1658.2687778</v>
      </c>
      <c r="E11" s="23">
        <f t="shared" si="2"/>
        <v>-1.9541229999999965E-2</v>
      </c>
      <c r="F11" s="20">
        <f t="shared" si="12"/>
        <v>109346.5057842</v>
      </c>
      <c r="G11" s="21">
        <f>(-$B11*VLOOKUP(Sens_hard_dollar!G$1,Tabla1[],6,0)+0.5*VLOOKUP(Sens_hard_dollar!G$1,Tabla1[],7,0)*$B11*$B11)*Sens_hard_dollar!F$8</f>
        <v>-6213.4942157999994</v>
      </c>
      <c r="H11" s="23">
        <f t="shared" si="4"/>
        <v>-5.3768554999999996E-2</v>
      </c>
      <c r="I11" s="20">
        <f t="shared" si="13"/>
        <v>81330.135183999999</v>
      </c>
      <c r="J11" s="21">
        <f>(-$B11*VLOOKUP(Sens_hard_dollar!J$1,Tabla1[],6,0)+0.5*VLOOKUP(Sens_hard_dollar!J$1,Tabla1[],7,0)*$B11*$B11)*Sens_hard_dollar!I$8</f>
        <v>-1249.864816</v>
      </c>
      <c r="K11" s="23">
        <f t="shared" si="6"/>
        <v>-1.5135200000000015E-2</v>
      </c>
      <c r="L11" s="20">
        <f t="shared" si="14"/>
        <v>102521.746592</v>
      </c>
      <c r="M11" s="21">
        <f>(-$B11*VLOOKUP(Sens_hard_dollar!M$1,Tabla1[],6,0)+0.5*VLOOKUP(Sens_hard_dollar!M$1,Tabla1[],7,0)*$B11*$B11)*Sens_hard_dollar!L$8</f>
        <v>-6278.2534080000005</v>
      </c>
      <c r="N11" s="23">
        <f t="shared" si="8"/>
        <v>-5.7704535000000057E-2</v>
      </c>
      <c r="O11" s="20">
        <f t="shared" si="15"/>
        <v>115265.23614374999</v>
      </c>
      <c r="P11" s="21">
        <f>(-$B11*VLOOKUP(Sens_hard_dollar!P$1,Tabla1[],6,0)+0.5*VLOOKUP(Sens_hard_dollar!P$1,Tabla1[],7,0)*$B11*$B11)*Sens_hard_dollar!O$8</f>
        <v>-5484.7638562500006</v>
      </c>
      <c r="Q11" s="23">
        <f t="shared" si="10"/>
        <v>-4.5422475000000073E-2</v>
      </c>
    </row>
    <row r="12" spans="1:17" x14ac:dyDescent="0.3">
      <c r="A12" s="16">
        <v>200</v>
      </c>
      <c r="B12" s="10">
        <f t="shared" si="0"/>
        <v>0.02</v>
      </c>
      <c r="C12" s="20">
        <f t="shared" si="11"/>
        <v>81559.3770888</v>
      </c>
      <c r="D12" s="21">
        <f>(-$B12*VLOOKUP(Sens_hard_dollar!D$1,Tabla1[],6,0)+0.5*VLOOKUP(Sens_hard_dollar!D$1,Tabla1[],7,0)*$B12*$B12)*Sens_hard_dollar!C$8</f>
        <v>-3300.6229112000001</v>
      </c>
      <c r="E12" s="23">
        <f t="shared" si="2"/>
        <v>-3.8894920000000055E-2</v>
      </c>
      <c r="F12" s="20">
        <f t="shared" si="12"/>
        <v>103192.2811368</v>
      </c>
      <c r="G12" s="21">
        <f>(-$B12*VLOOKUP(Sens_hard_dollar!G$1,Tabla1[],6,0)+0.5*VLOOKUP(Sens_hard_dollar!G$1,Tabla1[],7,0)*$B12*$B12)*Sens_hard_dollar!F$8</f>
        <v>-12367.718863199998</v>
      </c>
      <c r="H12" s="23">
        <f t="shared" si="4"/>
        <v>-0.10702422</v>
      </c>
      <c r="I12" s="20">
        <f t="shared" si="13"/>
        <v>80092.294016</v>
      </c>
      <c r="J12" s="21">
        <f>(-$B12*VLOOKUP(Sens_hard_dollar!J$1,Tabla1[],6,0)+0.5*VLOOKUP(Sens_hard_dollar!J$1,Tabla1[],7,0)*$B12*$B12)*Sens_hard_dollar!I$8</f>
        <v>-2487.7059840000002</v>
      </c>
      <c r="K12" s="23">
        <f t="shared" si="6"/>
        <v>-3.0124799999999952E-2</v>
      </c>
      <c r="L12" s="20">
        <f t="shared" si="14"/>
        <v>96303.434368000002</v>
      </c>
      <c r="M12" s="21">
        <f>(-$B12*VLOOKUP(Sens_hard_dollar!M$1,Tabla1[],6,0)+0.5*VLOOKUP(Sens_hard_dollar!M$1,Tabla1[],7,0)*$B12*$B12)*Sens_hard_dollar!L$8</f>
        <v>-12496.565632000002</v>
      </c>
      <c r="N12" s="23">
        <f t="shared" si="8"/>
        <v>-0.11485813999999994</v>
      </c>
      <c r="O12" s="20">
        <f t="shared" si="15"/>
        <v>109832.763075</v>
      </c>
      <c r="P12" s="21">
        <f>(-$B12*VLOOKUP(Sens_hard_dollar!P$1,Tabla1[],6,0)+0.5*VLOOKUP(Sens_hard_dollar!P$1,Tabla1[],7,0)*$B12*$B12)*Sens_hard_dollar!O$8</f>
        <v>-10917.236925000003</v>
      </c>
      <c r="Q12" s="23">
        <f t="shared" si="10"/>
        <v>-9.0411899999999989E-2</v>
      </c>
    </row>
    <row r="13" spans="1:17" x14ac:dyDescent="0.3">
      <c r="A13" s="15">
        <v>300</v>
      </c>
      <c r="B13" s="10">
        <f t="shared" si="0"/>
        <v>0.03</v>
      </c>
      <c r="C13" s="20">
        <f t="shared" si="11"/>
        <v>79932.937599800003</v>
      </c>
      <c r="D13" s="21">
        <f>(-$B13*VLOOKUP(Sens_hard_dollar!D$1,Tabla1[],6,0)+0.5*VLOOKUP(Sens_hard_dollar!D$1,Tabla1[],7,0)*$B13*$B13)*Sens_hard_dollar!C$8</f>
        <v>-4927.0624001999995</v>
      </c>
      <c r="E13" s="23">
        <f t="shared" si="2"/>
        <v>-5.8061069999999937E-2</v>
      </c>
      <c r="F13" s="20">
        <f t="shared" si="12"/>
        <v>97097.326057800004</v>
      </c>
      <c r="G13" s="21">
        <f>(-$B13*VLOOKUP(Sens_hard_dollar!G$1,Tabla1[],6,0)+0.5*VLOOKUP(Sens_hard_dollar!G$1,Tabla1[],7,0)*$B13*$B13)*Sens_hard_dollar!F$8</f>
        <v>-18462.673942199999</v>
      </c>
      <c r="H13" s="23">
        <f t="shared" si="4"/>
        <v>-0.15976699499999991</v>
      </c>
      <c r="I13" s="20">
        <f t="shared" si="13"/>
        <v>78866.476496000003</v>
      </c>
      <c r="J13" s="21">
        <f>(-$B13*VLOOKUP(Sens_hard_dollar!J$1,Tabla1[],6,0)+0.5*VLOOKUP(Sens_hard_dollar!J$1,Tabla1[],7,0)*$B13*$B13)*Sens_hard_dollar!I$8</f>
        <v>-3713.5235039999998</v>
      </c>
      <c r="K13" s="23">
        <f t="shared" si="6"/>
        <v>-4.496879999999992E-2</v>
      </c>
      <c r="L13" s="20">
        <f t="shared" si="14"/>
        <v>90145.063328000004</v>
      </c>
      <c r="M13" s="21">
        <f>(-$B13*VLOOKUP(Sens_hard_dollar!M$1,Tabla1[],6,0)+0.5*VLOOKUP(Sens_hard_dollar!M$1,Tabla1[],7,0)*$B13*$B13)*Sens_hard_dollar!L$8</f>
        <v>-18654.936672</v>
      </c>
      <c r="N13" s="23">
        <f t="shared" si="8"/>
        <v>-0.17146081499999999</v>
      </c>
      <c r="O13" s="20">
        <f t="shared" si="15"/>
        <v>104452.58079375001</v>
      </c>
      <c r="P13" s="21">
        <f>(-$B13*VLOOKUP(Sens_hard_dollar!P$1,Tabla1[],6,0)+0.5*VLOOKUP(Sens_hard_dollar!P$1,Tabla1[],7,0)*$B13*$B13)*Sens_hard_dollar!O$8</f>
        <v>-16297.419206250001</v>
      </c>
      <c r="Q13" s="23">
        <f t="shared" si="10"/>
        <v>-0.13496827499999997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L3" sqref="L3:N13"/>
    </sheetView>
  </sheetViews>
  <sheetFormatPr baseColWidth="10" defaultRowHeight="14.4" x14ac:dyDescent="0.3"/>
  <sheetData>
    <row r="1" spans="1:14" x14ac:dyDescent="0.3">
      <c r="A1" s="11"/>
      <c r="B1" s="11"/>
      <c r="C1" s="8"/>
      <c r="D1" s="12" t="s">
        <v>20</v>
      </c>
      <c r="E1" s="12"/>
      <c r="F1" s="8"/>
      <c r="G1" s="12" t="s">
        <v>22</v>
      </c>
      <c r="H1" s="12"/>
      <c r="I1" s="8"/>
      <c r="J1" s="8" t="s">
        <v>23</v>
      </c>
      <c r="K1" s="12"/>
      <c r="L1" s="8"/>
      <c r="M1" s="8" t="s">
        <v>24</v>
      </c>
      <c r="N1" s="12"/>
    </row>
    <row r="2" spans="1:14" x14ac:dyDescent="0.3">
      <c r="A2" s="13" t="s">
        <v>29</v>
      </c>
      <c r="B2" s="14" t="s">
        <v>40</v>
      </c>
      <c r="C2" s="9" t="s">
        <v>31</v>
      </c>
      <c r="D2" s="14" t="s">
        <v>33</v>
      </c>
      <c r="E2" s="14" t="s">
        <v>32</v>
      </c>
      <c r="F2" s="9" t="s">
        <v>31</v>
      </c>
      <c r="G2" s="14" t="s">
        <v>33</v>
      </c>
      <c r="H2" s="14" t="s">
        <v>32</v>
      </c>
      <c r="I2" s="9" t="s">
        <v>31</v>
      </c>
      <c r="J2" s="9" t="s">
        <v>33</v>
      </c>
      <c r="K2" s="14" t="s">
        <v>32</v>
      </c>
      <c r="L2" s="9" t="s">
        <v>31</v>
      </c>
      <c r="M2" s="9" t="s">
        <v>33</v>
      </c>
      <c r="N2" s="14" t="s">
        <v>32</v>
      </c>
    </row>
    <row r="3" spans="1:14" x14ac:dyDescent="0.3">
      <c r="A3" s="15">
        <v>-300</v>
      </c>
      <c r="B3" s="10">
        <f>A3/10000</f>
        <v>-0.03</v>
      </c>
      <c r="C3" s="19">
        <f>C$8+D3</f>
        <v>89930.294199800002</v>
      </c>
      <c r="D3" s="18">
        <f>(-$B3*VLOOKUP(Sens_hard_dollar!D$1,Tabla1[],6,0)+0.5*VLOOKUP(Sens_hard_dollar!D$1,Tabla1[],7,0)*$B3*$B3)*Sens_hard_dollar!C$8</f>
        <v>5070.2941997999997</v>
      </c>
      <c r="E3" s="22">
        <f>(C3/C$8-1)</f>
        <v>5.9748930000000033E-2</v>
      </c>
      <c r="F3" s="19">
        <f>F$8+G3</f>
        <v>134556.10005780001</v>
      </c>
      <c r="G3" s="18">
        <f>(-$B3*VLOOKUP(Sens_hard_dollar!G$1,Tabla1[],6,0)+0.5*VLOOKUP(Sens_hard_dollar!G$1,Tabla1[],7,0)*$B3*$B3)*Sens_hard_dollar!F$8</f>
        <v>18996.100057799998</v>
      </c>
      <c r="H3" s="22">
        <f>(F3/F$8-1)</f>
        <v>0.16438300500000014</v>
      </c>
      <c r="I3" s="19">
        <f>I$8+J3</f>
        <v>86401.736336000002</v>
      </c>
      <c r="J3" s="18">
        <f>(-$B3*VLOOKUP(Sens_hard_dollar!J$1,Tabla1[],6,0)+0.5*VLOOKUP(Sens_hard_dollar!J$1,Tabla1[],7,0)*$B3*$B3)*Sens_hard_dollar!I$8</f>
        <v>3821.7363359999999</v>
      </c>
      <c r="K3" s="22">
        <f>(I3/I$8-1)</f>
        <v>4.6279200000000076E-2</v>
      </c>
      <c r="L3" s="19">
        <f>L$8+M3</f>
        <v>127994.407328</v>
      </c>
      <c r="M3" s="18">
        <f>(-$B3*VLOOKUP(Sens_hard_dollar!M$1,Tabla1[],6,0)+0.5*VLOOKUP(Sens_hard_dollar!M$1,Tabla1[],7,0)*$B3*$B3)*Sens_hard_dollar!L$8</f>
        <v>19194.407327999998</v>
      </c>
      <c r="N3" s="22">
        <f>(L3/L$8-1)</f>
        <v>0.17641918500000009</v>
      </c>
    </row>
    <row r="4" spans="1:14" x14ac:dyDescent="0.3">
      <c r="A4" s="16">
        <v>-200</v>
      </c>
      <c r="B4" s="10">
        <f t="shared" ref="B4:B13" si="0">A4/10000</f>
        <v>-0.02</v>
      </c>
      <c r="C4" s="19">
        <f t="shared" ref="C4:C6" si="1">C$8+D4</f>
        <v>88224.281488799999</v>
      </c>
      <c r="D4" s="18">
        <f>(-$B4*VLOOKUP(Sens_hard_dollar!D$1,Tabla1[],6,0)+0.5*VLOOKUP(Sens_hard_dollar!D$1,Tabla1[],7,0)*$B4*$B4)*Sens_hard_dollar!C$8</f>
        <v>3364.2814887999998</v>
      </c>
      <c r="E4" s="22">
        <f t="shared" ref="E4:E13" si="2">(C4/C$8-1)</f>
        <v>3.9645079999999888E-2</v>
      </c>
      <c r="F4" s="19">
        <f t="shared" ref="F4:F6" si="3">F$8+G4</f>
        <v>128164.7971368</v>
      </c>
      <c r="G4" s="18">
        <f>(-$B4*VLOOKUP(Sens_hard_dollar!G$1,Tabla1[],6,0)+0.5*VLOOKUP(Sens_hard_dollar!G$1,Tabla1[],7,0)*$B4*$B4)*Sens_hard_dollar!F$8</f>
        <v>12604.7971368</v>
      </c>
      <c r="H4" s="22">
        <f t="shared" ref="H4:H13" si="4">(F4/F$8-1)</f>
        <v>0.10907577999999996</v>
      </c>
      <c r="I4" s="19">
        <f t="shared" ref="I4:I6" si="5">I$8+J4</f>
        <v>85115.800575999994</v>
      </c>
      <c r="J4" s="18">
        <f>(-$B4*VLOOKUP(Sens_hard_dollar!J$1,Tabla1[],6,0)+0.5*VLOOKUP(Sens_hard_dollar!J$1,Tabla1[],7,0)*$B4*$B4)*Sens_hard_dollar!I$8</f>
        <v>2535.8005759999996</v>
      </c>
      <c r="K4" s="22">
        <f t="shared" ref="K4:K13" si="6">(I4/I$8-1)</f>
        <v>3.0707199999999935E-2</v>
      </c>
      <c r="L4" s="19">
        <f t="shared" ref="L4:L6" si="7">L$8+M4</f>
        <v>121536.330368</v>
      </c>
      <c r="M4" s="18">
        <f>(-$B4*VLOOKUP(Sens_hard_dollar!M$1,Tabla1[],6,0)+0.5*VLOOKUP(Sens_hard_dollar!M$1,Tabla1[],7,0)*$B4*$B4)*Sens_hard_dollar!L$8</f>
        <v>12736.330368000001</v>
      </c>
      <c r="N4" s="22">
        <f t="shared" ref="N4:N13" si="8">(L4/L$8-1)</f>
        <v>0.11706185999999996</v>
      </c>
    </row>
    <row r="5" spans="1:14" x14ac:dyDescent="0.3">
      <c r="A5" s="15">
        <v>-100</v>
      </c>
      <c r="B5" s="10">
        <f t="shared" si="0"/>
        <v>-0.01</v>
      </c>
      <c r="C5" s="19">
        <f t="shared" si="1"/>
        <v>86534.183422200003</v>
      </c>
      <c r="D5" s="18">
        <f>(-$B5*VLOOKUP(Sens_hard_dollar!D$1,Tabla1[],6,0)+0.5*VLOOKUP(Sens_hard_dollar!D$1,Tabla1[],7,0)*$B5*$B5)*Sens_hard_dollar!C$8</f>
        <v>1674.1834222</v>
      </c>
      <c r="E5" s="22">
        <f t="shared" si="2"/>
        <v>1.9728769999999951E-2</v>
      </c>
      <c r="F5" s="19">
        <f t="shared" si="3"/>
        <v>121832.7637842</v>
      </c>
      <c r="G5" s="18">
        <f>(-$B5*VLOOKUP(Sens_hard_dollar!G$1,Tabla1[],6,0)+0.5*VLOOKUP(Sens_hard_dollar!G$1,Tabla1[],7,0)*$B5*$B5)*Sens_hard_dollar!F$8</f>
        <v>6272.7637841999995</v>
      </c>
      <c r="H5" s="22">
        <f t="shared" si="4"/>
        <v>5.4281444999999984E-2</v>
      </c>
      <c r="I5" s="19">
        <f t="shared" si="5"/>
        <v>83841.888464000003</v>
      </c>
      <c r="J5" s="18">
        <f>(-$B5*VLOOKUP(Sens_hard_dollar!J$1,Tabla1[],6,0)+0.5*VLOOKUP(Sens_hard_dollar!J$1,Tabla1[],7,0)*$B5*$B5)*Sens_hard_dollar!I$8</f>
        <v>1261.8884639999999</v>
      </c>
      <c r="K5" s="22">
        <f t="shared" si="6"/>
        <v>1.5280799999999983E-2</v>
      </c>
      <c r="L5" s="19">
        <f t="shared" si="7"/>
        <v>115138.194592</v>
      </c>
      <c r="M5" s="18">
        <f>(-$B5*VLOOKUP(Sens_hard_dollar!M$1,Tabla1[],6,0)+0.5*VLOOKUP(Sens_hard_dollar!M$1,Tabla1[],7,0)*$B5*$B5)*Sens_hard_dollar!L$8</f>
        <v>6338.1945920000007</v>
      </c>
      <c r="N5" s="22">
        <f t="shared" si="8"/>
        <v>5.8255465000000006E-2</v>
      </c>
    </row>
    <row r="6" spans="1:14" x14ac:dyDescent="0.3">
      <c r="A6" s="16">
        <v>-50</v>
      </c>
      <c r="B6" s="10">
        <f t="shared" si="0"/>
        <v>-5.0000000000000001E-3</v>
      </c>
      <c r="C6" s="19">
        <f t="shared" si="1"/>
        <v>85695.102380550001</v>
      </c>
      <c r="D6" s="18">
        <f>(-$B6*VLOOKUP(Sens_hard_dollar!D$1,Tabla1[],6,0)+0.5*VLOOKUP(Sens_hard_dollar!D$1,Tabla1[],7,0)*$B6*$B6)*Sens_hard_dollar!C$8</f>
        <v>835.10238055000002</v>
      </c>
      <c r="E6" s="22">
        <f t="shared" si="2"/>
        <v>9.8409425000001161E-3</v>
      </c>
      <c r="F6" s="19">
        <f t="shared" si="3"/>
        <v>118688.97319605001</v>
      </c>
      <c r="G6" s="18">
        <f>(-$B6*VLOOKUP(Sens_hard_dollar!G$1,Tabla1[],6,0)+0.5*VLOOKUP(Sens_hard_dollar!G$1,Tabla1[],7,0)*$B6*$B6)*Sens_hard_dollar!F$8</f>
        <v>3128.9731960499998</v>
      </c>
      <c r="H6" s="22">
        <f t="shared" si="4"/>
        <v>2.7076611250000049E-2</v>
      </c>
      <c r="I6" s="19">
        <f t="shared" si="5"/>
        <v>83209.441275999998</v>
      </c>
      <c r="J6" s="18">
        <f>(-$B6*VLOOKUP(Sens_hard_dollar!J$1,Tabla1[],6,0)+0.5*VLOOKUP(Sens_hard_dollar!J$1,Tabla1[],7,0)*$B6*$B6)*Sens_hard_dollar!I$8</f>
        <v>629.44127600000002</v>
      </c>
      <c r="K6" s="22">
        <f t="shared" si="6"/>
        <v>7.6221999999999124E-3</v>
      </c>
      <c r="L6" s="19">
        <f t="shared" si="7"/>
        <v>111961.60464800001</v>
      </c>
      <c r="M6" s="18">
        <f>(-$B6*VLOOKUP(Sens_hard_dollar!M$1,Tabla1[],6,0)+0.5*VLOOKUP(Sens_hard_dollar!M$1,Tabla1[],7,0)*$B6*$B6)*Sens_hard_dollar!L$8</f>
        <v>3161.6046480000005</v>
      </c>
      <c r="N6" s="22">
        <f t="shared" si="8"/>
        <v>2.9058866249999982E-2</v>
      </c>
    </row>
    <row r="7" spans="1:14" x14ac:dyDescent="0.3">
      <c r="A7" s="15">
        <v>-25</v>
      </c>
      <c r="B7" s="10">
        <f t="shared" si="0"/>
        <v>-2.5000000000000001E-3</v>
      </c>
      <c r="C7" s="19">
        <f>C$8+D7</f>
        <v>85277.053857637497</v>
      </c>
      <c r="D7" s="18">
        <f>(-$B7*VLOOKUP(Sens_hard_dollar!D$1,Tabla1[],6,0)+0.5*VLOOKUP(Sens_hard_dollar!D$1,Tabla1[],7,0)*$B7*$B7)*Sens_hard_dollar!C$8</f>
        <v>417.05385763750002</v>
      </c>
      <c r="E7" s="22">
        <f t="shared" si="2"/>
        <v>4.9146106249999821E-3</v>
      </c>
      <c r="F7" s="19">
        <f>F$8+G7</f>
        <v>117122.6344240125</v>
      </c>
      <c r="G7" s="18">
        <f>(-$B7*VLOOKUP(Sens_hard_dollar!G$1,Tabla1[],6,0)+0.5*VLOOKUP(Sens_hard_dollar!G$1,Tabla1[],7,0)*$B7*$B7)*Sens_hard_dollar!F$8</f>
        <v>1562.6344240124999</v>
      </c>
      <c r="H7" s="22">
        <f t="shared" si="4"/>
        <v>1.3522277812499928E-2</v>
      </c>
      <c r="I7" s="19">
        <f>I$8+J7</f>
        <v>82894.344899000003</v>
      </c>
      <c r="J7" s="18">
        <f>(-$B7*VLOOKUP(Sens_hard_dollar!J$1,Tabla1[],6,0)+0.5*VLOOKUP(Sens_hard_dollar!J$1,Tabla1[],7,0)*$B7*$B7)*Sens_hard_dollar!I$8</f>
        <v>314.344899</v>
      </c>
      <c r="K7" s="22">
        <f t="shared" si="6"/>
        <v>3.8065499999999641E-3</v>
      </c>
      <c r="L7" s="19">
        <f>L$8+M7</f>
        <v>110378.929162</v>
      </c>
      <c r="M7" s="18">
        <f>(-$B7*VLOOKUP(Sens_hard_dollar!M$1,Tabla1[],6,0)+0.5*VLOOKUP(Sens_hard_dollar!M$1,Tabla1[],7,0)*$B7*$B7)*Sens_hard_dollar!L$8</f>
        <v>1578.9291620000001</v>
      </c>
      <c r="N7" s="22">
        <f t="shared" si="8"/>
        <v>1.4512216562500013E-2</v>
      </c>
    </row>
    <row r="8" spans="1:14" x14ac:dyDescent="0.3">
      <c r="A8" s="16" t="s">
        <v>30</v>
      </c>
      <c r="B8" s="10">
        <v>0</v>
      </c>
      <c r="C8" s="6">
        <f>VLOOKUP(Sens_hard_dollar!D1,Tabla1[],3,0)</f>
        <v>84860</v>
      </c>
      <c r="D8" s="17" t="s">
        <v>30</v>
      </c>
      <c r="E8" s="1" t="s">
        <v>30</v>
      </c>
      <c r="F8" s="6">
        <f>VLOOKUP(Sens_hard_dollar!G1,Tabla1[],3,0)</f>
        <v>115560</v>
      </c>
      <c r="G8" s="17" t="s">
        <v>30</v>
      </c>
      <c r="H8" s="1" t="s">
        <v>30</v>
      </c>
      <c r="I8" s="6">
        <f>VLOOKUP(Sens_hard_dollar!J1,Tabla1[],3,0)</f>
        <v>82580</v>
      </c>
      <c r="J8" s="17" t="s">
        <v>30</v>
      </c>
      <c r="K8" s="1" t="s">
        <v>30</v>
      </c>
      <c r="L8" s="6">
        <f>VLOOKUP(Sens_hard_dollar!M1,Tabla1[],3,0)</f>
        <v>108800</v>
      </c>
      <c r="M8" s="17" t="s">
        <v>30</v>
      </c>
      <c r="N8" s="1" t="s">
        <v>30</v>
      </c>
    </row>
    <row r="9" spans="1:14" x14ac:dyDescent="0.3">
      <c r="A9" s="15">
        <v>25</v>
      </c>
      <c r="B9" s="10">
        <f t="shared" si="0"/>
        <v>2.5000000000000001E-3</v>
      </c>
      <c r="C9" s="20">
        <f>C$8+D9</f>
        <v>84443.940807637497</v>
      </c>
      <c r="D9" s="21">
        <f>(-$B9*VLOOKUP(Sens_hard_dollar!D$1,Tabla1[],6,0)+0.5*VLOOKUP(Sens_hard_dollar!D$1,Tabla1[],7,0)*$B9*$B9)*Sens_hard_dollar!C$8</f>
        <v>-416.05919236249997</v>
      </c>
      <c r="E9" s="23">
        <f t="shared" si="2"/>
        <v>-4.9028893750000524E-3</v>
      </c>
      <c r="F9" s="20">
        <f>F$8+G9</f>
        <v>114001.0699240125</v>
      </c>
      <c r="G9" s="21">
        <f>(-$B9*VLOOKUP(Sens_hard_dollar!G$1,Tabla1[],6,0)+0.5*VLOOKUP(Sens_hard_dollar!G$1,Tabla1[],7,0)*$B9*$B9)*Sens_hard_dollar!F$8</f>
        <v>-1558.9300759875</v>
      </c>
      <c r="H9" s="23">
        <f t="shared" si="4"/>
        <v>-1.3490222187500067E-2</v>
      </c>
      <c r="I9" s="20">
        <f>I$8+J9</f>
        <v>82266.406579000002</v>
      </c>
      <c r="J9" s="21">
        <f>(-$B9*VLOOKUP(Sens_hard_dollar!J$1,Tabla1[],6,0)+0.5*VLOOKUP(Sens_hard_dollar!J$1,Tabla1[],7,0)*$B9*$B9)*Sens_hard_dollar!I$8</f>
        <v>-313.59342099999998</v>
      </c>
      <c r="K9" s="23">
        <f t="shared" si="6"/>
        <v>-3.79744999999998E-3</v>
      </c>
      <c r="L9" s="20">
        <f>L$8+M9</f>
        <v>107224.81716200001</v>
      </c>
      <c r="M9" s="21">
        <f>(-$B9*VLOOKUP(Sens_hard_dollar!M$1,Tabla1[],6,0)+0.5*VLOOKUP(Sens_hard_dollar!M$1,Tabla1[],7,0)*$B9*$B9)*Sens_hard_dollar!L$8</f>
        <v>-1575.1828380000002</v>
      </c>
      <c r="N9" s="23">
        <f t="shared" si="8"/>
        <v>-1.4477783437499947E-2</v>
      </c>
    </row>
    <row r="10" spans="1:14" x14ac:dyDescent="0.3">
      <c r="A10" s="16">
        <v>50</v>
      </c>
      <c r="B10" s="10">
        <f t="shared" si="0"/>
        <v>5.0000000000000001E-3</v>
      </c>
      <c r="C10" s="20">
        <f t="shared" ref="C10:C13" si="9">C$8+D10</f>
        <v>84028.876280550001</v>
      </c>
      <c r="D10" s="21">
        <f>(-$B10*VLOOKUP(Sens_hard_dollar!D$1,Tabla1[],6,0)+0.5*VLOOKUP(Sens_hard_dollar!D$1,Tabla1[],7,0)*$B10*$B10)*Sens_hard_dollar!C$8</f>
        <v>-831.12371944999995</v>
      </c>
      <c r="E10" s="23">
        <f t="shared" si="2"/>
        <v>-9.794057499999953E-3</v>
      </c>
      <c r="F10" s="20">
        <f t="shared" ref="F10:F13" si="10">F$8+G10</f>
        <v>112445.84419605001</v>
      </c>
      <c r="G10" s="21">
        <f>(-$B10*VLOOKUP(Sens_hard_dollar!G$1,Tabla1[],6,0)+0.5*VLOOKUP(Sens_hard_dollar!G$1,Tabla1[],7,0)*$B10*$B10)*Sens_hard_dollar!F$8</f>
        <v>-3114.1558039500001</v>
      </c>
      <c r="H10" s="23">
        <f t="shared" si="4"/>
        <v>-2.6948388749999941E-2</v>
      </c>
      <c r="I10" s="20">
        <f t="shared" ref="I10:I13" si="11">I$8+J10</f>
        <v>81953.564635999996</v>
      </c>
      <c r="J10" s="21">
        <f>(-$B10*VLOOKUP(Sens_hard_dollar!J$1,Tabla1[],6,0)+0.5*VLOOKUP(Sens_hard_dollar!J$1,Tabla1[],7,0)*$B10*$B10)*Sens_hard_dollar!I$8</f>
        <v>-626.43536399999994</v>
      </c>
      <c r="K10" s="23">
        <f t="shared" si="6"/>
        <v>-7.5858000000000869E-3</v>
      </c>
      <c r="L10" s="20">
        <f t="shared" ref="L10:L13" si="12">L$8+M10</f>
        <v>105653.38064800001</v>
      </c>
      <c r="M10" s="21">
        <f>(-$B10*VLOOKUP(Sens_hard_dollar!M$1,Tabla1[],6,0)+0.5*VLOOKUP(Sens_hard_dollar!M$1,Tabla1[],7,0)*$B10*$B10)*Sens_hard_dollar!L$8</f>
        <v>-3146.6193520000002</v>
      </c>
      <c r="N10" s="23">
        <f t="shared" si="8"/>
        <v>-2.8921133749999939E-2</v>
      </c>
    </row>
    <row r="11" spans="1:14" x14ac:dyDescent="0.3">
      <c r="A11" s="15">
        <v>100</v>
      </c>
      <c r="B11" s="10">
        <f t="shared" si="0"/>
        <v>0.01</v>
      </c>
      <c r="C11" s="20">
        <f t="shared" si="9"/>
        <v>83201.731222200004</v>
      </c>
      <c r="D11" s="21">
        <f>(-$B11*VLOOKUP(Sens_hard_dollar!D$1,Tabla1[],6,0)+0.5*VLOOKUP(Sens_hard_dollar!D$1,Tabla1[],7,0)*$B11*$B11)*Sens_hard_dollar!C$8</f>
        <v>-1658.2687778</v>
      </c>
      <c r="E11" s="23">
        <f t="shared" si="2"/>
        <v>-1.9541229999999965E-2</v>
      </c>
      <c r="F11" s="20">
        <f t="shared" si="10"/>
        <v>109346.5057842</v>
      </c>
      <c r="G11" s="21">
        <f>(-$B11*VLOOKUP(Sens_hard_dollar!G$1,Tabla1[],6,0)+0.5*VLOOKUP(Sens_hard_dollar!G$1,Tabla1[],7,0)*$B11*$B11)*Sens_hard_dollar!F$8</f>
        <v>-6213.4942157999994</v>
      </c>
      <c r="H11" s="23">
        <f t="shared" si="4"/>
        <v>-5.3768554999999996E-2</v>
      </c>
      <c r="I11" s="20">
        <f t="shared" si="11"/>
        <v>81330.135183999999</v>
      </c>
      <c r="J11" s="21">
        <f>(-$B11*VLOOKUP(Sens_hard_dollar!J$1,Tabla1[],6,0)+0.5*VLOOKUP(Sens_hard_dollar!J$1,Tabla1[],7,0)*$B11*$B11)*Sens_hard_dollar!I$8</f>
        <v>-1249.864816</v>
      </c>
      <c r="K11" s="23">
        <f t="shared" si="6"/>
        <v>-1.5135200000000015E-2</v>
      </c>
      <c r="L11" s="20">
        <f t="shared" si="12"/>
        <v>102521.746592</v>
      </c>
      <c r="M11" s="21">
        <f>(-$B11*VLOOKUP(Sens_hard_dollar!M$1,Tabla1[],6,0)+0.5*VLOOKUP(Sens_hard_dollar!M$1,Tabla1[],7,0)*$B11*$B11)*Sens_hard_dollar!L$8</f>
        <v>-6278.2534080000005</v>
      </c>
      <c r="N11" s="23">
        <f t="shared" si="8"/>
        <v>-5.7704535000000057E-2</v>
      </c>
    </row>
    <row r="12" spans="1:14" x14ac:dyDescent="0.3">
      <c r="A12" s="16">
        <v>200</v>
      </c>
      <c r="B12" s="10">
        <f t="shared" si="0"/>
        <v>0.02</v>
      </c>
      <c r="C12" s="20">
        <f t="shared" si="9"/>
        <v>81559.3770888</v>
      </c>
      <c r="D12" s="21">
        <f>(-$B12*VLOOKUP(Sens_hard_dollar!D$1,Tabla1[],6,0)+0.5*VLOOKUP(Sens_hard_dollar!D$1,Tabla1[],7,0)*$B12*$B12)*Sens_hard_dollar!C$8</f>
        <v>-3300.6229112000001</v>
      </c>
      <c r="E12" s="23">
        <f t="shared" si="2"/>
        <v>-3.8894920000000055E-2</v>
      </c>
      <c r="F12" s="20">
        <f t="shared" si="10"/>
        <v>103192.2811368</v>
      </c>
      <c r="G12" s="21">
        <f>(-$B12*VLOOKUP(Sens_hard_dollar!G$1,Tabla1[],6,0)+0.5*VLOOKUP(Sens_hard_dollar!G$1,Tabla1[],7,0)*$B12*$B12)*Sens_hard_dollar!F$8</f>
        <v>-12367.718863199998</v>
      </c>
      <c r="H12" s="23">
        <f t="shared" si="4"/>
        <v>-0.10702422</v>
      </c>
      <c r="I12" s="20">
        <f t="shared" si="11"/>
        <v>80092.294016</v>
      </c>
      <c r="J12" s="21">
        <f>(-$B12*VLOOKUP(Sens_hard_dollar!J$1,Tabla1[],6,0)+0.5*VLOOKUP(Sens_hard_dollar!J$1,Tabla1[],7,0)*$B12*$B12)*Sens_hard_dollar!I$8</f>
        <v>-2487.7059840000002</v>
      </c>
      <c r="K12" s="23">
        <f t="shared" si="6"/>
        <v>-3.0124799999999952E-2</v>
      </c>
      <c r="L12" s="20">
        <f t="shared" si="12"/>
        <v>96303.434368000002</v>
      </c>
      <c r="M12" s="21">
        <f>(-$B12*VLOOKUP(Sens_hard_dollar!M$1,Tabla1[],6,0)+0.5*VLOOKUP(Sens_hard_dollar!M$1,Tabla1[],7,0)*$B12*$B12)*Sens_hard_dollar!L$8</f>
        <v>-12496.565632000002</v>
      </c>
      <c r="N12" s="23">
        <f t="shared" si="8"/>
        <v>-0.11485813999999994</v>
      </c>
    </row>
    <row r="13" spans="1:14" x14ac:dyDescent="0.3">
      <c r="A13" s="15">
        <v>300</v>
      </c>
      <c r="B13" s="10">
        <f t="shared" si="0"/>
        <v>0.03</v>
      </c>
      <c r="C13" s="20">
        <f t="shared" si="9"/>
        <v>79932.937599800003</v>
      </c>
      <c r="D13" s="21">
        <f>(-$B13*VLOOKUP(Sens_hard_dollar!D$1,Tabla1[],6,0)+0.5*VLOOKUP(Sens_hard_dollar!D$1,Tabla1[],7,0)*$B13*$B13)*Sens_hard_dollar!C$8</f>
        <v>-4927.0624001999995</v>
      </c>
      <c r="E13" s="23">
        <f t="shared" si="2"/>
        <v>-5.8061069999999937E-2</v>
      </c>
      <c r="F13" s="20">
        <f t="shared" si="10"/>
        <v>97097.326057800004</v>
      </c>
      <c r="G13" s="21">
        <f>(-$B13*VLOOKUP(Sens_hard_dollar!G$1,Tabla1[],6,0)+0.5*VLOOKUP(Sens_hard_dollar!G$1,Tabla1[],7,0)*$B13*$B13)*Sens_hard_dollar!F$8</f>
        <v>-18462.673942199999</v>
      </c>
      <c r="H13" s="23">
        <f t="shared" si="4"/>
        <v>-0.15976699499999991</v>
      </c>
      <c r="I13" s="20">
        <f t="shared" si="11"/>
        <v>78866.476496000003</v>
      </c>
      <c r="J13" s="21">
        <f>(-$B13*VLOOKUP(Sens_hard_dollar!J$1,Tabla1[],6,0)+0.5*VLOOKUP(Sens_hard_dollar!J$1,Tabla1[],7,0)*$B13*$B13)*Sens_hard_dollar!I$8</f>
        <v>-3713.5235039999998</v>
      </c>
      <c r="K13" s="23">
        <f t="shared" si="6"/>
        <v>-4.496879999999992E-2</v>
      </c>
      <c r="L13" s="20">
        <f t="shared" si="12"/>
        <v>90145.063328000004</v>
      </c>
      <c r="M13" s="21">
        <f>(-$B13*VLOOKUP(Sens_hard_dollar!M$1,Tabla1[],6,0)+0.5*VLOOKUP(Sens_hard_dollar!M$1,Tabla1[],7,0)*$B13*$B13)*Sens_hard_dollar!L$8</f>
        <v>-18654.936672</v>
      </c>
      <c r="N13" s="23">
        <f t="shared" si="8"/>
        <v>-0.17146081499999999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H32" sqref="H32"/>
    </sheetView>
  </sheetViews>
  <sheetFormatPr baseColWidth="10" defaultRowHeight="14.4" x14ac:dyDescent="0.3"/>
  <sheetData>
    <row r="1" spans="1:11" x14ac:dyDescent="0.3">
      <c r="A1" s="11"/>
      <c r="B1" s="11"/>
      <c r="C1" s="8"/>
      <c r="D1" s="24" t="s">
        <v>25</v>
      </c>
      <c r="E1" s="12"/>
      <c r="F1" s="8"/>
      <c r="G1" s="25" t="s">
        <v>27</v>
      </c>
      <c r="H1" s="12"/>
      <c r="I1" s="8"/>
      <c r="J1" s="24" t="s">
        <v>28</v>
      </c>
      <c r="K1" s="12"/>
    </row>
    <row r="2" spans="1:11" x14ac:dyDescent="0.3">
      <c r="A2" s="13" t="s">
        <v>29</v>
      </c>
      <c r="B2" s="14" t="s">
        <v>40</v>
      </c>
      <c r="C2" s="9" t="s">
        <v>31</v>
      </c>
      <c r="D2" s="14" t="s">
        <v>33</v>
      </c>
      <c r="E2" s="14" t="s">
        <v>32</v>
      </c>
      <c r="F2" s="9" t="s">
        <v>31</v>
      </c>
      <c r="G2" s="14" t="s">
        <v>33</v>
      </c>
      <c r="H2" s="14" t="s">
        <v>32</v>
      </c>
      <c r="I2" s="9" t="s">
        <v>31</v>
      </c>
      <c r="J2" s="9" t="s">
        <v>33</v>
      </c>
      <c r="K2" s="14" t="s">
        <v>32</v>
      </c>
    </row>
    <row r="3" spans="1:11" x14ac:dyDescent="0.3">
      <c r="A3" s="15">
        <v>-300</v>
      </c>
      <c r="B3" s="10">
        <f>A3/10000</f>
        <v>-0.03</v>
      </c>
      <c r="C3" s="19">
        <f>C$8+D3</f>
        <v>89930.294199800002</v>
      </c>
      <c r="D3" s="18">
        <f>(-$B3*VLOOKUP(Sens_hard_dollar!D$1,Tabla1[],6,0)+0.5*VLOOKUP(Sens_hard_dollar!D$1,Tabla1[],7,0)*$B3*$B3)*Sens_hard_dollar!C$8</f>
        <v>5070.2941997999997</v>
      </c>
      <c r="E3" s="22">
        <f>(C3/C$8-1)</f>
        <v>5.9748930000000033E-2</v>
      </c>
      <c r="F3" s="19">
        <f>F$8+G3</f>
        <v>134556.10005780001</v>
      </c>
      <c r="G3" s="18">
        <f>(-$B3*VLOOKUP(Sens_hard_dollar!G$1,Tabla1[],6,0)+0.5*VLOOKUP(Sens_hard_dollar!G$1,Tabla1[],7,0)*$B3*$B3)*Sens_hard_dollar!F$8</f>
        <v>18996.100057799998</v>
      </c>
      <c r="H3" s="22">
        <f>(F3/F$8-1)</f>
        <v>0.16438300500000014</v>
      </c>
      <c r="I3" s="19">
        <f>I$8+J3</f>
        <v>86401.736336000002</v>
      </c>
      <c r="J3" s="18">
        <f>(-$B3*VLOOKUP(Sens_hard_dollar!J$1,Tabla1[],6,0)+0.5*VLOOKUP(Sens_hard_dollar!J$1,Tabla1[],7,0)*$B3*$B3)*Sens_hard_dollar!I$8</f>
        <v>3821.7363359999999</v>
      </c>
      <c r="K3" s="22">
        <f>(I3/I$8-1)</f>
        <v>4.6279200000000076E-2</v>
      </c>
    </row>
    <row r="4" spans="1:11" x14ac:dyDescent="0.3">
      <c r="A4" s="16">
        <v>-200</v>
      </c>
      <c r="B4" s="10">
        <f t="shared" ref="B4:B13" si="0">A4/10000</f>
        <v>-0.02</v>
      </c>
      <c r="C4" s="19">
        <f t="shared" ref="C4:C6" si="1">C$8+D4</f>
        <v>88224.281488799999</v>
      </c>
      <c r="D4" s="18">
        <f>(-$B4*VLOOKUP(Sens_hard_dollar!D$1,Tabla1[],6,0)+0.5*VLOOKUP(Sens_hard_dollar!D$1,Tabla1[],7,0)*$B4*$B4)*Sens_hard_dollar!C$8</f>
        <v>3364.2814887999998</v>
      </c>
      <c r="E4" s="22">
        <f t="shared" ref="E4:E13" si="2">(C4/C$8-1)</f>
        <v>3.9645079999999888E-2</v>
      </c>
      <c r="F4" s="19">
        <f t="shared" ref="F4:F6" si="3">F$8+G4</f>
        <v>128164.7971368</v>
      </c>
      <c r="G4" s="18">
        <f>(-$B4*VLOOKUP(Sens_hard_dollar!G$1,Tabla1[],6,0)+0.5*VLOOKUP(Sens_hard_dollar!G$1,Tabla1[],7,0)*$B4*$B4)*Sens_hard_dollar!F$8</f>
        <v>12604.7971368</v>
      </c>
      <c r="H4" s="22">
        <f t="shared" ref="H4:H13" si="4">(F4/F$8-1)</f>
        <v>0.10907577999999996</v>
      </c>
      <c r="I4" s="19">
        <f t="shared" ref="I4:I6" si="5">I$8+J4</f>
        <v>85115.800575999994</v>
      </c>
      <c r="J4" s="18">
        <f>(-$B4*VLOOKUP(Sens_hard_dollar!J$1,Tabla1[],6,0)+0.5*VLOOKUP(Sens_hard_dollar!J$1,Tabla1[],7,0)*$B4*$B4)*Sens_hard_dollar!I$8</f>
        <v>2535.8005759999996</v>
      </c>
      <c r="K4" s="22">
        <f t="shared" ref="K4:K13" si="6">(I4/I$8-1)</f>
        <v>3.0707199999999935E-2</v>
      </c>
    </row>
    <row r="5" spans="1:11" x14ac:dyDescent="0.3">
      <c r="A5" s="15">
        <v>-100</v>
      </c>
      <c r="B5" s="10">
        <f t="shared" si="0"/>
        <v>-0.01</v>
      </c>
      <c r="C5" s="19">
        <f t="shared" si="1"/>
        <v>86534.183422200003</v>
      </c>
      <c r="D5" s="18">
        <f>(-$B5*VLOOKUP(Sens_hard_dollar!D$1,Tabla1[],6,0)+0.5*VLOOKUP(Sens_hard_dollar!D$1,Tabla1[],7,0)*$B5*$B5)*Sens_hard_dollar!C$8</f>
        <v>1674.1834222</v>
      </c>
      <c r="E5" s="22">
        <f t="shared" si="2"/>
        <v>1.9728769999999951E-2</v>
      </c>
      <c r="F5" s="19">
        <f t="shared" si="3"/>
        <v>121832.7637842</v>
      </c>
      <c r="G5" s="18">
        <f>(-$B5*VLOOKUP(Sens_hard_dollar!G$1,Tabla1[],6,0)+0.5*VLOOKUP(Sens_hard_dollar!G$1,Tabla1[],7,0)*$B5*$B5)*Sens_hard_dollar!F$8</f>
        <v>6272.7637841999995</v>
      </c>
      <c r="H5" s="22">
        <f t="shared" si="4"/>
        <v>5.4281444999999984E-2</v>
      </c>
      <c r="I5" s="19">
        <f t="shared" si="5"/>
        <v>83841.888464000003</v>
      </c>
      <c r="J5" s="18">
        <f>(-$B5*VLOOKUP(Sens_hard_dollar!J$1,Tabla1[],6,0)+0.5*VLOOKUP(Sens_hard_dollar!J$1,Tabla1[],7,0)*$B5*$B5)*Sens_hard_dollar!I$8</f>
        <v>1261.8884639999999</v>
      </c>
      <c r="K5" s="22">
        <f t="shared" si="6"/>
        <v>1.5280799999999983E-2</v>
      </c>
    </row>
    <row r="6" spans="1:11" x14ac:dyDescent="0.3">
      <c r="A6" s="16">
        <v>-50</v>
      </c>
      <c r="B6" s="10">
        <f t="shared" si="0"/>
        <v>-5.0000000000000001E-3</v>
      </c>
      <c r="C6" s="19">
        <f t="shared" si="1"/>
        <v>85695.102380550001</v>
      </c>
      <c r="D6" s="18">
        <f>(-$B6*VLOOKUP(Sens_hard_dollar!D$1,Tabla1[],6,0)+0.5*VLOOKUP(Sens_hard_dollar!D$1,Tabla1[],7,0)*$B6*$B6)*Sens_hard_dollar!C$8</f>
        <v>835.10238055000002</v>
      </c>
      <c r="E6" s="22">
        <f t="shared" si="2"/>
        <v>9.8409425000001161E-3</v>
      </c>
      <c r="F6" s="19">
        <f t="shared" si="3"/>
        <v>118688.97319605001</v>
      </c>
      <c r="G6" s="18">
        <f>(-$B6*VLOOKUP(Sens_hard_dollar!G$1,Tabla1[],6,0)+0.5*VLOOKUP(Sens_hard_dollar!G$1,Tabla1[],7,0)*$B6*$B6)*Sens_hard_dollar!F$8</f>
        <v>3128.9731960499998</v>
      </c>
      <c r="H6" s="22">
        <f t="shared" si="4"/>
        <v>2.7076611250000049E-2</v>
      </c>
      <c r="I6" s="19">
        <f t="shared" si="5"/>
        <v>83209.441275999998</v>
      </c>
      <c r="J6" s="18">
        <f>(-$B6*VLOOKUP(Sens_hard_dollar!J$1,Tabla1[],6,0)+0.5*VLOOKUP(Sens_hard_dollar!J$1,Tabla1[],7,0)*$B6*$B6)*Sens_hard_dollar!I$8</f>
        <v>629.44127600000002</v>
      </c>
      <c r="K6" s="22">
        <f t="shared" si="6"/>
        <v>7.6221999999999124E-3</v>
      </c>
    </row>
    <row r="7" spans="1:11" x14ac:dyDescent="0.3">
      <c r="A7" s="15">
        <v>-25</v>
      </c>
      <c r="B7" s="10">
        <f t="shared" si="0"/>
        <v>-2.5000000000000001E-3</v>
      </c>
      <c r="C7" s="19">
        <f>C$8+D7</f>
        <v>85277.053857637497</v>
      </c>
      <c r="D7" s="18">
        <f>(-$B7*VLOOKUP(Sens_hard_dollar!D$1,Tabla1[],6,0)+0.5*VLOOKUP(Sens_hard_dollar!D$1,Tabla1[],7,0)*$B7*$B7)*Sens_hard_dollar!C$8</f>
        <v>417.05385763750002</v>
      </c>
      <c r="E7" s="22">
        <f t="shared" si="2"/>
        <v>4.9146106249999821E-3</v>
      </c>
      <c r="F7" s="19">
        <f>F$8+G7</f>
        <v>117122.6344240125</v>
      </c>
      <c r="G7" s="18">
        <f>(-$B7*VLOOKUP(Sens_hard_dollar!G$1,Tabla1[],6,0)+0.5*VLOOKUP(Sens_hard_dollar!G$1,Tabla1[],7,0)*$B7*$B7)*Sens_hard_dollar!F$8</f>
        <v>1562.6344240124999</v>
      </c>
      <c r="H7" s="22">
        <f t="shared" si="4"/>
        <v>1.3522277812499928E-2</v>
      </c>
      <c r="I7" s="19">
        <f>I$8+J7</f>
        <v>82894.344899000003</v>
      </c>
      <c r="J7" s="18">
        <f>(-$B7*VLOOKUP(Sens_hard_dollar!J$1,Tabla1[],6,0)+0.5*VLOOKUP(Sens_hard_dollar!J$1,Tabla1[],7,0)*$B7*$B7)*Sens_hard_dollar!I$8</f>
        <v>314.344899</v>
      </c>
      <c r="K7" s="22">
        <f t="shared" si="6"/>
        <v>3.8065499999999641E-3</v>
      </c>
    </row>
    <row r="8" spans="1:11" x14ac:dyDescent="0.3">
      <c r="A8" s="16" t="s">
        <v>30</v>
      </c>
      <c r="B8" s="10">
        <v>0</v>
      </c>
      <c r="C8" s="6">
        <f>VLOOKUP(Sens_hard_dollar!D1,Tabla1[],3,0)</f>
        <v>84860</v>
      </c>
      <c r="D8" s="17" t="s">
        <v>30</v>
      </c>
      <c r="E8" s="1" t="s">
        <v>30</v>
      </c>
      <c r="F8" s="6">
        <f>VLOOKUP(Sens_hard_dollar!G1,Tabla1[],3,0)</f>
        <v>115560</v>
      </c>
      <c r="G8" s="17" t="s">
        <v>30</v>
      </c>
      <c r="H8" s="1" t="s">
        <v>30</v>
      </c>
      <c r="I8" s="6">
        <f>VLOOKUP(Sens_hard_dollar!J1,Tabla1[],3,0)</f>
        <v>82580</v>
      </c>
      <c r="J8" s="17" t="s">
        <v>30</v>
      </c>
      <c r="K8" s="1" t="s">
        <v>30</v>
      </c>
    </row>
    <row r="9" spans="1:11" x14ac:dyDescent="0.3">
      <c r="A9" s="15">
        <v>25</v>
      </c>
      <c r="B9" s="10">
        <f t="shared" si="0"/>
        <v>2.5000000000000001E-3</v>
      </c>
      <c r="C9" s="20">
        <f>C$8+D9</f>
        <v>84443.940807637497</v>
      </c>
      <c r="D9" s="21">
        <f>(-$B9*VLOOKUP(Sens_hard_dollar!D$1,Tabla1[],6,0)+0.5*VLOOKUP(Sens_hard_dollar!D$1,Tabla1[],7,0)*$B9*$B9)*Sens_hard_dollar!C$8</f>
        <v>-416.05919236249997</v>
      </c>
      <c r="E9" s="23">
        <f t="shared" si="2"/>
        <v>-4.9028893750000524E-3</v>
      </c>
      <c r="F9" s="20">
        <f>F$8+G9</f>
        <v>114001.0699240125</v>
      </c>
      <c r="G9" s="21">
        <f>(-$B9*VLOOKUP(Sens_hard_dollar!G$1,Tabla1[],6,0)+0.5*VLOOKUP(Sens_hard_dollar!G$1,Tabla1[],7,0)*$B9*$B9)*Sens_hard_dollar!F$8</f>
        <v>-1558.9300759875</v>
      </c>
      <c r="H9" s="23">
        <f t="shared" si="4"/>
        <v>-1.3490222187500067E-2</v>
      </c>
      <c r="I9" s="20">
        <f>I$8+J9</f>
        <v>82266.406579000002</v>
      </c>
      <c r="J9" s="21">
        <f>(-$B9*VLOOKUP(Sens_hard_dollar!J$1,Tabla1[],6,0)+0.5*VLOOKUP(Sens_hard_dollar!J$1,Tabla1[],7,0)*$B9*$B9)*Sens_hard_dollar!I$8</f>
        <v>-313.59342099999998</v>
      </c>
      <c r="K9" s="23">
        <f t="shared" si="6"/>
        <v>-3.79744999999998E-3</v>
      </c>
    </row>
    <row r="10" spans="1:11" x14ac:dyDescent="0.3">
      <c r="A10" s="16">
        <v>50</v>
      </c>
      <c r="B10" s="10">
        <f t="shared" si="0"/>
        <v>5.0000000000000001E-3</v>
      </c>
      <c r="C10" s="20">
        <f t="shared" ref="C10:C13" si="7">C$8+D10</f>
        <v>84028.876280550001</v>
      </c>
      <c r="D10" s="21">
        <f>(-$B10*VLOOKUP(Sens_hard_dollar!D$1,Tabla1[],6,0)+0.5*VLOOKUP(Sens_hard_dollar!D$1,Tabla1[],7,0)*$B10*$B10)*Sens_hard_dollar!C$8</f>
        <v>-831.12371944999995</v>
      </c>
      <c r="E10" s="23">
        <f t="shared" si="2"/>
        <v>-9.794057499999953E-3</v>
      </c>
      <c r="F10" s="20">
        <f t="shared" ref="F10:F13" si="8">F$8+G10</f>
        <v>112445.84419605001</v>
      </c>
      <c r="G10" s="21">
        <f>(-$B10*VLOOKUP(Sens_hard_dollar!G$1,Tabla1[],6,0)+0.5*VLOOKUP(Sens_hard_dollar!G$1,Tabla1[],7,0)*$B10*$B10)*Sens_hard_dollar!F$8</f>
        <v>-3114.1558039500001</v>
      </c>
      <c r="H10" s="23">
        <f t="shared" si="4"/>
        <v>-2.6948388749999941E-2</v>
      </c>
      <c r="I10" s="20">
        <f t="shared" ref="I10:I13" si="9">I$8+J10</f>
        <v>81953.564635999996</v>
      </c>
      <c r="J10" s="21">
        <f>(-$B10*VLOOKUP(Sens_hard_dollar!J$1,Tabla1[],6,0)+0.5*VLOOKUP(Sens_hard_dollar!J$1,Tabla1[],7,0)*$B10*$B10)*Sens_hard_dollar!I$8</f>
        <v>-626.43536399999994</v>
      </c>
      <c r="K10" s="23">
        <f t="shared" si="6"/>
        <v>-7.5858000000000869E-3</v>
      </c>
    </row>
    <row r="11" spans="1:11" x14ac:dyDescent="0.3">
      <c r="A11" s="15">
        <v>100</v>
      </c>
      <c r="B11" s="10">
        <f t="shared" si="0"/>
        <v>0.01</v>
      </c>
      <c r="C11" s="20">
        <f t="shared" si="7"/>
        <v>83201.731222200004</v>
      </c>
      <c r="D11" s="21">
        <f>(-$B11*VLOOKUP(Sens_hard_dollar!D$1,Tabla1[],6,0)+0.5*VLOOKUP(Sens_hard_dollar!D$1,Tabla1[],7,0)*$B11*$B11)*Sens_hard_dollar!C$8</f>
        <v>-1658.2687778</v>
      </c>
      <c r="E11" s="23">
        <f t="shared" si="2"/>
        <v>-1.9541229999999965E-2</v>
      </c>
      <c r="F11" s="20">
        <f t="shared" si="8"/>
        <v>109346.5057842</v>
      </c>
      <c r="G11" s="21">
        <f>(-$B11*VLOOKUP(Sens_hard_dollar!G$1,Tabla1[],6,0)+0.5*VLOOKUP(Sens_hard_dollar!G$1,Tabla1[],7,0)*$B11*$B11)*Sens_hard_dollar!F$8</f>
        <v>-6213.4942157999994</v>
      </c>
      <c r="H11" s="23">
        <f t="shared" si="4"/>
        <v>-5.3768554999999996E-2</v>
      </c>
      <c r="I11" s="20">
        <f t="shared" si="9"/>
        <v>81330.135183999999</v>
      </c>
      <c r="J11" s="21">
        <f>(-$B11*VLOOKUP(Sens_hard_dollar!J$1,Tabla1[],6,0)+0.5*VLOOKUP(Sens_hard_dollar!J$1,Tabla1[],7,0)*$B11*$B11)*Sens_hard_dollar!I$8</f>
        <v>-1249.864816</v>
      </c>
      <c r="K11" s="23">
        <f t="shared" si="6"/>
        <v>-1.5135200000000015E-2</v>
      </c>
    </row>
    <row r="12" spans="1:11" x14ac:dyDescent="0.3">
      <c r="A12" s="16">
        <v>200</v>
      </c>
      <c r="B12" s="10">
        <f t="shared" si="0"/>
        <v>0.02</v>
      </c>
      <c r="C12" s="20">
        <f t="shared" si="7"/>
        <v>81559.3770888</v>
      </c>
      <c r="D12" s="21">
        <f>(-$B12*VLOOKUP(Sens_hard_dollar!D$1,Tabla1[],6,0)+0.5*VLOOKUP(Sens_hard_dollar!D$1,Tabla1[],7,0)*$B12*$B12)*Sens_hard_dollar!C$8</f>
        <v>-3300.6229112000001</v>
      </c>
      <c r="E12" s="23">
        <f t="shared" si="2"/>
        <v>-3.8894920000000055E-2</v>
      </c>
      <c r="F12" s="20">
        <f t="shared" si="8"/>
        <v>103192.2811368</v>
      </c>
      <c r="G12" s="21">
        <f>(-$B12*VLOOKUP(Sens_hard_dollar!G$1,Tabla1[],6,0)+0.5*VLOOKUP(Sens_hard_dollar!G$1,Tabla1[],7,0)*$B12*$B12)*Sens_hard_dollar!F$8</f>
        <v>-12367.718863199998</v>
      </c>
      <c r="H12" s="23">
        <f t="shared" si="4"/>
        <v>-0.10702422</v>
      </c>
      <c r="I12" s="20">
        <f t="shared" si="9"/>
        <v>80092.294016</v>
      </c>
      <c r="J12" s="21">
        <f>(-$B12*VLOOKUP(Sens_hard_dollar!J$1,Tabla1[],6,0)+0.5*VLOOKUP(Sens_hard_dollar!J$1,Tabla1[],7,0)*$B12*$B12)*Sens_hard_dollar!I$8</f>
        <v>-2487.7059840000002</v>
      </c>
      <c r="K12" s="23">
        <f t="shared" si="6"/>
        <v>-3.0124799999999952E-2</v>
      </c>
    </row>
    <row r="13" spans="1:11" x14ac:dyDescent="0.3">
      <c r="A13" s="15">
        <v>300</v>
      </c>
      <c r="B13" s="10">
        <f t="shared" si="0"/>
        <v>0.03</v>
      </c>
      <c r="C13" s="20">
        <f t="shared" si="7"/>
        <v>79932.937599800003</v>
      </c>
      <c r="D13" s="21">
        <f>(-$B13*VLOOKUP(Sens_hard_dollar!D$1,Tabla1[],6,0)+0.5*VLOOKUP(Sens_hard_dollar!D$1,Tabla1[],7,0)*$B13*$B13)*Sens_hard_dollar!C$8</f>
        <v>-4927.0624001999995</v>
      </c>
      <c r="E13" s="23">
        <f t="shared" si="2"/>
        <v>-5.8061069999999937E-2</v>
      </c>
      <c r="F13" s="20">
        <f t="shared" si="8"/>
        <v>97097.326057800004</v>
      </c>
      <c r="G13" s="21">
        <f>(-$B13*VLOOKUP(Sens_hard_dollar!G$1,Tabla1[],6,0)+0.5*VLOOKUP(Sens_hard_dollar!G$1,Tabla1[],7,0)*$B13*$B13)*Sens_hard_dollar!F$8</f>
        <v>-18462.673942199999</v>
      </c>
      <c r="H13" s="23">
        <f t="shared" si="4"/>
        <v>-0.15976699499999991</v>
      </c>
      <c r="I13" s="20">
        <f t="shared" si="9"/>
        <v>78866.476496000003</v>
      </c>
      <c r="J13" s="21">
        <f>(-$B13*VLOOKUP(Sens_hard_dollar!J$1,Tabla1[],6,0)+0.5*VLOOKUP(Sens_hard_dollar!J$1,Tabla1[],7,0)*$B13*$B13)*Sens_hard_dollar!I$8</f>
        <v>-3713.5235039999998</v>
      </c>
      <c r="K13" s="23">
        <f t="shared" si="6"/>
        <v>-4.496879999999992E-2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G13" sqref="G13"/>
    </sheetView>
  </sheetViews>
  <sheetFormatPr baseColWidth="10" defaultRowHeight="14.4" x14ac:dyDescent="0.3"/>
  <cols>
    <col min="1" max="1" width="11.44140625" bestFit="1" customWidth="1"/>
    <col min="2" max="2" width="10.21875" bestFit="1" customWidth="1"/>
    <col min="3" max="3" width="8" bestFit="1" customWidth="1"/>
    <col min="4" max="4" width="13.21875" bestFit="1" customWidth="1"/>
    <col min="5" max="5" width="13.5546875" bestFit="1" customWidth="1"/>
    <col min="6" max="6" width="8" bestFit="1" customWidth="1"/>
    <col min="7" max="8" width="13.5546875" bestFit="1" customWidth="1"/>
  </cols>
  <sheetData>
    <row r="1" spans="1:8" ht="15.6" thickTop="1" thickBot="1" x14ac:dyDescent="0.35">
      <c r="A1" s="5" t="s">
        <v>1</v>
      </c>
      <c r="B1" s="5" t="s">
        <v>7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</row>
    <row r="2" spans="1:8" ht="15" thickTop="1" x14ac:dyDescent="0.3">
      <c r="A2" s="26" t="s">
        <v>9</v>
      </c>
      <c r="B2" s="26">
        <v>3</v>
      </c>
      <c r="C2" s="26">
        <v>8.9741</v>
      </c>
      <c r="D2" s="26">
        <v>10.734999999999999</v>
      </c>
      <c r="E2" s="26">
        <v>10.9291</v>
      </c>
      <c r="F2" s="26">
        <v>8.6972000000000005</v>
      </c>
      <c r="G2" s="26"/>
      <c r="H2" s="26"/>
    </row>
    <row r="3" spans="1:8" x14ac:dyDescent="0.3">
      <c r="A3" s="26" t="s">
        <v>9</v>
      </c>
      <c r="B3" s="26">
        <v>4</v>
      </c>
      <c r="C3" s="26">
        <v>9.4974000000000007</v>
      </c>
      <c r="D3" s="26">
        <v>11.3491</v>
      </c>
      <c r="E3" s="26">
        <v>11.470700000000001</v>
      </c>
      <c r="F3" s="26">
        <v>9.1462000000000003</v>
      </c>
      <c r="G3" s="26"/>
      <c r="H3" s="26"/>
    </row>
    <row r="4" spans="1:8" x14ac:dyDescent="0.3">
      <c r="A4" s="26" t="s">
        <v>9</v>
      </c>
      <c r="B4" s="26">
        <v>5</v>
      </c>
      <c r="C4" s="26">
        <v>9.9060000000000006</v>
      </c>
      <c r="D4" s="26">
        <v>11.6912</v>
      </c>
      <c r="E4" s="26">
        <v>11.7529</v>
      </c>
      <c r="F4" s="26">
        <v>9.484</v>
      </c>
      <c r="G4" s="26"/>
      <c r="H4" s="26"/>
    </row>
    <row r="5" spans="1:8" x14ac:dyDescent="0.3">
      <c r="A5" s="26" t="s">
        <v>9</v>
      </c>
      <c r="B5" s="26">
        <v>6</v>
      </c>
      <c r="C5" s="26">
        <v>10.216699999999999</v>
      </c>
      <c r="D5" s="26">
        <v>11.818</v>
      </c>
      <c r="E5" s="26">
        <v>11.831</v>
      </c>
      <c r="F5" s="26">
        <v>9.7330000000000005</v>
      </c>
      <c r="G5" s="26"/>
      <c r="H5" s="26"/>
    </row>
    <row r="6" spans="1:8" x14ac:dyDescent="0.3">
      <c r="A6" s="26" t="s">
        <v>9</v>
      </c>
      <c r="B6" s="26">
        <v>7</v>
      </c>
      <c r="C6" s="26">
        <v>10.4443</v>
      </c>
      <c r="D6" s="26">
        <v>11.7767</v>
      </c>
      <c r="E6" s="26">
        <v>11.7508</v>
      </c>
      <c r="F6" s="26">
        <v>9.9113000000000007</v>
      </c>
      <c r="G6" s="26"/>
      <c r="H6" s="26"/>
    </row>
    <row r="7" spans="1:8" x14ac:dyDescent="0.3">
      <c r="A7" s="26" t="s">
        <v>9</v>
      </c>
      <c r="B7" s="26">
        <v>8</v>
      </c>
      <c r="C7" s="26">
        <v>10.6014</v>
      </c>
      <c r="D7" s="26">
        <v>11.606199999999999</v>
      </c>
      <c r="E7" s="26">
        <v>11.5501</v>
      </c>
      <c r="F7" s="26">
        <v>10.034000000000001</v>
      </c>
      <c r="G7" s="26"/>
      <c r="H7" s="26"/>
    </row>
    <row r="8" spans="1:8" x14ac:dyDescent="0.3">
      <c r="A8" s="26" t="s">
        <v>9</v>
      </c>
      <c r="B8" s="26">
        <v>9</v>
      </c>
      <c r="C8" s="26">
        <v>10.6989</v>
      </c>
      <c r="D8" s="26">
        <v>11.3383</v>
      </c>
      <c r="E8" s="26">
        <v>11.26</v>
      </c>
      <c r="F8" s="26">
        <v>10.113</v>
      </c>
      <c r="G8" s="26"/>
      <c r="H8" s="26"/>
    </row>
    <row r="9" spans="1:8" x14ac:dyDescent="0.3">
      <c r="A9" s="26" t="s">
        <v>9</v>
      </c>
      <c r="B9" s="26">
        <v>10</v>
      </c>
      <c r="C9" s="26">
        <v>10.7464</v>
      </c>
      <c r="D9" s="26">
        <v>10.9992</v>
      </c>
      <c r="E9" s="26">
        <v>10.9055</v>
      </c>
      <c r="F9" s="26">
        <v>10.158200000000001</v>
      </c>
      <c r="G9" s="26"/>
      <c r="H9" s="26"/>
    </row>
    <row r="10" spans="1:8" x14ac:dyDescent="0.3">
      <c r="A10" s="26" t="s">
        <v>9</v>
      </c>
      <c r="B10" s="26">
        <v>11</v>
      </c>
      <c r="C10" s="26">
        <v>10.752000000000001</v>
      </c>
      <c r="D10" s="26">
        <v>10.6099</v>
      </c>
      <c r="E10" s="26">
        <v>10.5068</v>
      </c>
      <c r="F10" s="26">
        <v>10.177</v>
      </c>
      <c r="G10" s="26"/>
      <c r="H10" s="26"/>
    </row>
    <row r="11" spans="1:8" x14ac:dyDescent="0.3">
      <c r="A11" s="26" t="s">
        <v>9</v>
      </c>
      <c r="B11" s="26">
        <v>12</v>
      </c>
      <c r="C11" s="26">
        <v>10.7227</v>
      </c>
      <c r="D11" s="26">
        <v>10.1876</v>
      </c>
      <c r="E11" s="26">
        <v>10.0802</v>
      </c>
      <c r="F11" s="26">
        <v>10.175700000000001</v>
      </c>
      <c r="G11" s="26"/>
      <c r="H11" s="26"/>
    </row>
    <row r="12" spans="1:8" x14ac:dyDescent="0.3">
      <c r="A12" s="26" t="s">
        <v>9</v>
      </c>
      <c r="B12" s="26">
        <v>13</v>
      </c>
      <c r="C12" s="26">
        <v>10.6647</v>
      </c>
      <c r="D12" s="26">
        <v>9.7460000000000004</v>
      </c>
      <c r="E12" s="26">
        <v>9.6385000000000005</v>
      </c>
      <c r="F12" s="26">
        <v>10.159000000000001</v>
      </c>
      <c r="G12" s="26"/>
      <c r="H12" s="26"/>
    </row>
    <row r="13" spans="1:8" x14ac:dyDescent="0.3">
      <c r="A13" s="26" t="s">
        <v>9</v>
      </c>
      <c r="B13" s="26">
        <v>14</v>
      </c>
      <c r="C13" s="26">
        <v>10.583</v>
      </c>
      <c r="D13" s="26">
        <v>9.2959999999999994</v>
      </c>
      <c r="E13" s="26">
        <v>9.1918000000000006</v>
      </c>
      <c r="F13" s="26">
        <v>10.130599999999999</v>
      </c>
      <c r="G13" s="26"/>
      <c r="H13" s="26"/>
    </row>
    <row r="14" spans="1:8" x14ac:dyDescent="0.3">
      <c r="A14" s="26" t="s">
        <v>9</v>
      </c>
      <c r="B14" s="26">
        <v>15</v>
      </c>
      <c r="C14" s="26">
        <v>10.482200000000001</v>
      </c>
      <c r="D14" s="26">
        <v>8.8460000000000001</v>
      </c>
      <c r="E14" s="26">
        <v>8.7477999999999998</v>
      </c>
      <c r="F14" s="26">
        <v>10.093500000000001</v>
      </c>
      <c r="G14" s="26"/>
      <c r="H14" s="26"/>
    </row>
    <row r="15" spans="1:8" x14ac:dyDescent="0.3">
      <c r="A15" s="27" t="s">
        <v>15</v>
      </c>
      <c r="B15" s="27">
        <v>0.25</v>
      </c>
      <c r="C15" s="27">
        <v>11.697900000000001</v>
      </c>
      <c r="D15" s="27">
        <v>4.0979000000000001</v>
      </c>
      <c r="E15" s="27"/>
      <c r="F15" s="27">
        <v>11.697900000000001</v>
      </c>
      <c r="G15" s="27">
        <v>2.5842999999999998</v>
      </c>
      <c r="H15" s="27"/>
    </row>
    <row r="16" spans="1:8" x14ac:dyDescent="0.3">
      <c r="A16" s="27" t="s">
        <v>15</v>
      </c>
      <c r="B16" s="27">
        <v>0.5</v>
      </c>
      <c r="C16" s="27">
        <v>7.0442</v>
      </c>
      <c r="D16" s="27">
        <v>2.3062</v>
      </c>
      <c r="E16" s="27"/>
      <c r="F16" s="27">
        <v>7.0442</v>
      </c>
      <c r="G16" s="27">
        <v>3.9948000000000001</v>
      </c>
      <c r="H16" s="27"/>
    </row>
    <row r="17" spans="1:8" x14ac:dyDescent="0.3">
      <c r="A17" s="27" t="s">
        <v>15</v>
      </c>
      <c r="B17" s="27">
        <v>0.75</v>
      </c>
      <c r="C17" s="27">
        <v>6.0179</v>
      </c>
      <c r="D17" s="27">
        <v>5.9904000000000002</v>
      </c>
      <c r="E17" s="27"/>
      <c r="F17" s="27">
        <v>6.0179</v>
      </c>
      <c r="G17" s="27">
        <v>8.2324999999999999</v>
      </c>
      <c r="H17" s="27"/>
    </row>
    <row r="18" spans="1:8" x14ac:dyDescent="0.3">
      <c r="A18" s="27" t="s">
        <v>15</v>
      </c>
      <c r="B18" s="27">
        <v>1</v>
      </c>
      <c r="C18" s="27">
        <v>6.5673000000000004</v>
      </c>
      <c r="D18" s="27">
        <v>10.374700000000001</v>
      </c>
      <c r="E18" s="27"/>
      <c r="F18" s="27">
        <v>6.5673000000000004</v>
      </c>
      <c r="G18" s="27">
        <v>12.382999999999999</v>
      </c>
      <c r="H18" s="27"/>
    </row>
    <row r="19" spans="1:8" x14ac:dyDescent="0.3">
      <c r="A19" s="27" t="s">
        <v>15</v>
      </c>
      <c r="B19" s="27">
        <v>1.5</v>
      </c>
      <c r="C19" s="27">
        <v>8.9788999999999994</v>
      </c>
      <c r="D19" s="27">
        <v>16.5517</v>
      </c>
      <c r="E19" s="27"/>
      <c r="F19" s="27">
        <v>8.9788999999999994</v>
      </c>
      <c r="G19" s="27">
        <v>17.761099999999999</v>
      </c>
      <c r="H19" s="27"/>
    </row>
    <row r="20" spans="1:8" x14ac:dyDescent="0.3">
      <c r="A20" s="27" t="s">
        <v>15</v>
      </c>
      <c r="B20" s="27">
        <v>2</v>
      </c>
      <c r="C20" s="27">
        <v>11.275499999999999</v>
      </c>
      <c r="D20" s="27">
        <v>19.363600000000002</v>
      </c>
      <c r="E20" s="27"/>
      <c r="F20" s="27">
        <v>11.275499999999999</v>
      </c>
      <c r="G20" s="27">
        <v>20.020900000000001</v>
      </c>
      <c r="H20" s="27"/>
    </row>
    <row r="21" spans="1:8" x14ac:dyDescent="0.3">
      <c r="A21" s="27" t="s">
        <v>15</v>
      </c>
      <c r="B21" s="27">
        <v>2.5</v>
      </c>
      <c r="C21" s="27">
        <v>13.0197</v>
      </c>
      <c r="D21" s="27">
        <v>20.45</v>
      </c>
      <c r="E21" s="27"/>
      <c r="F21" s="27">
        <v>13.0197</v>
      </c>
      <c r="G21" s="27">
        <v>20.816700000000001</v>
      </c>
      <c r="H21" s="27"/>
    </row>
    <row r="22" spans="1:8" x14ac:dyDescent="0.3">
      <c r="A22" s="28" t="s">
        <v>21</v>
      </c>
      <c r="B22" s="28">
        <v>0.5</v>
      </c>
      <c r="C22" s="28">
        <v>7.0707000000000004</v>
      </c>
      <c r="D22" s="28">
        <v>5.4916</v>
      </c>
      <c r="E22" s="28">
        <v>7.2138</v>
      </c>
      <c r="F22" s="28">
        <v>6.9499000000000004</v>
      </c>
      <c r="G22" s="28"/>
      <c r="H22" s="28"/>
    </row>
    <row r="23" spans="1:8" x14ac:dyDescent="0.3">
      <c r="A23" s="28" t="s">
        <v>21</v>
      </c>
      <c r="B23" s="28">
        <v>0.75</v>
      </c>
      <c r="C23" s="28">
        <v>6.7836999999999996</v>
      </c>
      <c r="D23" s="28">
        <v>7.1227999999999998</v>
      </c>
      <c r="E23" s="28">
        <v>9.3241999999999994</v>
      </c>
      <c r="F23" s="28">
        <v>6.9499000000000004</v>
      </c>
      <c r="G23" s="28"/>
      <c r="H23" s="28"/>
    </row>
    <row r="24" spans="1:8" x14ac:dyDescent="0.3">
      <c r="A24" s="28" t="s">
        <v>21</v>
      </c>
      <c r="B24" s="28">
        <v>1</v>
      </c>
      <c r="C24" s="28">
        <v>7.1421999999999999</v>
      </c>
      <c r="D24" s="28">
        <v>9.3303999999999991</v>
      </c>
      <c r="E24" s="28">
        <v>11.400700000000001</v>
      </c>
      <c r="F24" s="28">
        <v>7.0179</v>
      </c>
      <c r="G24" s="28"/>
      <c r="H24" s="28"/>
    </row>
    <row r="25" spans="1:8" x14ac:dyDescent="0.3">
      <c r="A25" s="28" t="s">
        <v>21</v>
      </c>
      <c r="B25" s="28">
        <v>1.5</v>
      </c>
      <c r="C25" s="28">
        <v>8.5433000000000003</v>
      </c>
      <c r="D25" s="28">
        <v>13.1165</v>
      </c>
      <c r="E25" s="28">
        <v>14.4842</v>
      </c>
      <c r="F25" s="28">
        <v>8.3123000000000005</v>
      </c>
      <c r="G25" s="28"/>
      <c r="H25" s="28"/>
    </row>
    <row r="26" spans="1:8" x14ac:dyDescent="0.3">
      <c r="A26" s="28" t="s">
        <v>21</v>
      </c>
      <c r="B26" s="28">
        <v>2</v>
      </c>
      <c r="C26" s="28">
        <v>9.9990000000000006</v>
      </c>
      <c r="D26" s="28">
        <v>15.3826</v>
      </c>
      <c r="E26" s="28">
        <v>16.163</v>
      </c>
      <c r="F26" s="28">
        <v>9.6129999999999995</v>
      </c>
      <c r="G26" s="28"/>
      <c r="H26" s="28"/>
    </row>
    <row r="27" spans="1:8" x14ac:dyDescent="0.3">
      <c r="A27" s="29" t="s">
        <v>26</v>
      </c>
      <c r="B27" s="29">
        <v>8.3299999999999999E-2</v>
      </c>
      <c r="C27" s="29">
        <v>32.930599999999998</v>
      </c>
      <c r="D27" s="29">
        <v>32.712800000000001</v>
      </c>
      <c r="E27" s="29"/>
      <c r="F27" s="29">
        <v>32.930599999999998</v>
      </c>
      <c r="G27" s="29"/>
      <c r="H27" s="29">
        <v>32.518300000000004</v>
      </c>
    </row>
    <row r="28" spans="1:8" x14ac:dyDescent="0.3">
      <c r="A28" s="29" t="s">
        <v>26</v>
      </c>
      <c r="B28" s="29">
        <v>0.16669999999999999</v>
      </c>
      <c r="C28" s="29">
        <v>32.724299999999999</v>
      </c>
      <c r="D28" s="29">
        <v>32.333599999999997</v>
      </c>
      <c r="E28" s="29"/>
      <c r="F28" s="29">
        <v>32.724299999999999</v>
      </c>
      <c r="G28" s="29"/>
      <c r="H28" s="29">
        <v>32.169400000000003</v>
      </c>
    </row>
    <row r="29" spans="1:8" x14ac:dyDescent="0.3">
      <c r="A29" s="29" t="s">
        <v>26</v>
      </c>
      <c r="B29" s="29">
        <v>0.25</v>
      </c>
      <c r="C29" s="29">
        <v>32.539099999999998</v>
      </c>
      <c r="D29" s="29">
        <v>32.012599999999999</v>
      </c>
      <c r="E29" s="29"/>
      <c r="F29" s="29">
        <v>32.539099999999998</v>
      </c>
      <c r="G29" s="29"/>
      <c r="H29" s="29">
        <v>31.874199999999998</v>
      </c>
    </row>
    <row r="30" spans="1:8" x14ac:dyDescent="0.3">
      <c r="A30" s="29" t="s">
        <v>26</v>
      </c>
      <c r="B30" s="29">
        <v>0.33329999999999999</v>
      </c>
      <c r="C30" s="29">
        <v>32.372599999999998</v>
      </c>
      <c r="D30" s="29">
        <v>31.7409</v>
      </c>
      <c r="E30" s="29"/>
      <c r="F30" s="29">
        <v>32.372599999999998</v>
      </c>
      <c r="G30" s="29"/>
      <c r="H30" s="29">
        <v>31.624400000000001</v>
      </c>
    </row>
    <row r="31" spans="1:8" x14ac:dyDescent="0.3">
      <c r="A31" s="29" t="s">
        <v>26</v>
      </c>
      <c r="B31" s="29">
        <v>0.41670000000000001</v>
      </c>
      <c r="C31" s="29">
        <v>32.2226</v>
      </c>
      <c r="D31" s="29">
        <v>31.510899999999999</v>
      </c>
      <c r="E31" s="29"/>
      <c r="F31" s="29">
        <v>32.2226</v>
      </c>
      <c r="G31" s="29"/>
      <c r="H31" s="29">
        <v>31.4129</v>
      </c>
    </row>
    <row r="32" spans="1:8" x14ac:dyDescent="0.3">
      <c r="A32" s="29" t="s">
        <v>26</v>
      </c>
      <c r="B32" s="29">
        <v>0.5</v>
      </c>
      <c r="C32" s="29">
        <v>32.087299999999999</v>
      </c>
      <c r="D32" s="29">
        <v>31.316199999999998</v>
      </c>
      <c r="E32" s="29"/>
      <c r="F32" s="29">
        <v>32.087299999999999</v>
      </c>
      <c r="G32" s="29"/>
      <c r="H32" s="29">
        <v>31.233899999999998</v>
      </c>
    </row>
    <row r="33" spans="1:8" x14ac:dyDescent="0.3">
      <c r="A33" s="29" t="s">
        <v>26</v>
      </c>
      <c r="B33" s="29">
        <v>0.75</v>
      </c>
      <c r="C33" s="29">
        <v>31.754000000000001</v>
      </c>
      <c r="D33" s="29">
        <v>30.893799999999999</v>
      </c>
      <c r="E33" s="29"/>
      <c r="F33" s="29">
        <v>31.754000000000001</v>
      </c>
      <c r="G33" s="29"/>
      <c r="H33" s="29">
        <v>30.845300000000002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bonos_metricas</vt:lpstr>
      <vt:lpstr>Sens_hard_dollar</vt:lpstr>
      <vt:lpstr>Sens_dollar_linked</vt:lpstr>
      <vt:lpstr>Sens_CER</vt:lpstr>
      <vt:lpstr>Sens_tasa_fija</vt:lpstr>
      <vt:lpstr>Curva_NS</vt:lpstr>
      <vt:lpstr>Curva_NS!curvas_NS</vt:lpstr>
      <vt:lpstr>Curva_NS!curvas_NS_1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giubi perez</dc:creator>
  <cp:lastModifiedBy>julian giubi perez</cp:lastModifiedBy>
  <dcterms:created xsi:type="dcterms:W3CDTF">2026-08-30T21:20:45Z</dcterms:created>
  <dcterms:modified xsi:type="dcterms:W3CDTF">2026-09-06T23:13:46Z</dcterms:modified>
</cp:coreProperties>
</file>